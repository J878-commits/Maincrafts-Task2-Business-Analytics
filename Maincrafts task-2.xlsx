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toryboard" sheetId="1" r:id="rId5"/>
    <sheet state="visible" name="Findings &amp; FRD" sheetId="2" r:id="rId6"/>
    <sheet state="visible" name="BA_Analysis_Report" sheetId="3" r:id="rId7"/>
    <sheet state="visible" name="KPI_Summary" sheetId="4" r:id="rId8"/>
    <sheet state="visible" name="Analytics_Charts" sheetId="5" r:id="rId9"/>
    <sheet state="visible" name="Pivot Table 2" sheetId="6" r:id="rId10"/>
    <sheet state="visible" name="KPI calculated columns" sheetId="7" r:id="rId11"/>
  </sheets>
  <definedNames>
    <definedName hidden="1" localSheetId="5" name="_xlnm._FilterDatabase">'Pivot Table 2'!$A$10:$B$16</definedName>
  </definedNames>
  <calcPr/>
  <pivotCaches>
    <pivotCache cacheId="0" r:id="rId12"/>
  </pivotCaches>
</workbook>
</file>

<file path=xl/sharedStrings.xml><?xml version="1.0" encoding="utf-8"?>
<sst xmlns="http://schemas.openxmlformats.org/spreadsheetml/2006/main" count="11310" uniqueCount="1836">
  <si>
    <t>EXECUTIVE STRATEGIC FINDINGS &amp; FUNCTIONAL REQUIREMENTS DOCUMENT (FRD)</t>
  </si>
  <si>
    <t>Post-2023 Performance Diagnostics, Root Cause Causation Analysis, Functional System Architecture &amp; Strategic Roadmap</t>
  </si>
  <si>
    <t>5-YEAR GROSS REVENUE</t>
  </si>
  <si>
    <t>POST-2023 TRAJECTORY</t>
  </si>
  <si>
    <t>CRITICAL PERFORMANCE GAP (Q4)</t>
  </si>
  <si>
    <t>STRATEGIC IMPERATIVE</t>
  </si>
  <si>
    <t>-2.2% YoY Stabilized</t>
  </si>
  <si>
    <t>-30.5% Q4 Contraction</t>
  </si>
  <si>
    <t>Dynamic Q4 Engine</t>
  </si>
  <si>
    <t>Peak in 2022 ($1.46M) • $1.61M Profit</t>
  </si>
  <si>
    <t>2023: $1.23M ➔ 2024: $1.20M</t>
  </si>
  <si>
    <t>Q4'23: $349.8K ➔ Q4'24: $243.0K (-$106.9K)</t>
  </si>
  <si>
    <t>Automate Seasonal Promo &amp; Safety Stock</t>
  </si>
  <si>
    <t>1. HISTORICAL SALES PERFORMANCE &amp; POST-2023 TREND DIAGNOSTICS</t>
  </si>
  <si>
    <t>Fiscal Period</t>
  </si>
  <si>
    <t>Gross Revenue ($)</t>
  </si>
  <si>
    <t>Net Profit ($)</t>
  </si>
  <si>
    <t>Profit Margin (%)</t>
  </si>
  <si>
    <t>YoY Revenue Growth ($)</t>
  </si>
  <si>
    <t>YoY Revenue Growth (%)</t>
  </si>
  <si>
    <t>Share of Total (%)</t>
  </si>
  <si>
    <t>Diagnostic Analysis</t>
  </si>
  <si>
    <t>FY 2020</t>
  </si>
  <si>
    <t>—</t>
  </si>
  <si>
    <t>Initial Baseline Operations</t>
  </si>
  <si>
    <t>FY 2021</t>
  </si>
  <si>
    <t>BUSINESS ANALYST INVESTIGATION REPORT: 2020 &amp; 2025 SALES TREND ANALYSIS</t>
  </si>
  <si>
    <t>Diagnostic Audit of Apparent Multi-Year Revenue Contractions | Author: Senior Business Analyst | Scope: FY 2020 - FY 2025 Historicals | Status: Formal Analysis Complete</t>
  </si>
  <si>
    <t>2020 DATA COMPLETENESS</t>
  </si>
  <si>
    <t>2025 DATA COMPLETENESS</t>
  </si>
  <si>
    <t>NORMALIZED REVENUE TREND</t>
  </si>
  <si>
    <t>GOVERNANCE ACTION</t>
  </si>
  <si>
    <t>9.3 Months Recorded (Jan-Feb Missing)</t>
  </si>
  <si>
    <t>2.5 Months Recorded (Mid-Q1 Snapshot)</t>
  </si>
  <si>
    <t>No Organic Contraction (Annualized +3.8%)</t>
  </si>
  <si>
    <t>Enforce YTD Like-for-Like Normalization</t>
  </si>
  <si>
    <t>1. EXECUTIVE SUMMARY &amp; PROBLEM STATEMENT</t>
  </si>
  <si>
    <t>PROBLEM STATEMENT &amp; BUSINESS CONTEXT:</t>
  </si>
  <si>
    <t>Raw aggregations of annual sales figures indicate alarming revenue declines at the boundaries of the five-year observation period: FY 2020 generated $859,401 and FY 2025 recorded only $249,816, compared to peak performance in 2022 ($1,459,775). Initial leadership concerns centered around severe market contraction, sudden customer churn, or product distribution failures.</t>
  </si>
  <si>
    <t>DIAGNOSTIC INVESTIGATION FINDING:</t>
  </si>
  <si>
    <t>A rigorous empirical audit demonstrates that the apparent drops are entirely attributable to data collection artifacts (temporal truncation and mid-quarter ETL export cut-offs), rather than true operational or commercial deterioration. When standardized to annualized run-rates, 2020 operated at ~$1.11M (interrupted by COVID-19 onset in March), while 2025 is generating ~$1.25M run-rate—outperforming 2024 by +3.8% and on pace with healthy baseline years. Only 2021 through 2024 represent complete 12-month operating years.</t>
  </si>
  <si>
    <t>2. EMPIRICAL CROSS-VERIFICATION DATA SUMMARY TABLE (FY 2020 - FY 2025)</t>
  </si>
  <si>
    <t>Recorded Sales ($)</t>
  </si>
  <si>
    <t>Order Count</t>
  </si>
  <si>
    <t>Earliest Order Date</t>
  </si>
  <si>
    <t>Latest Order Date</t>
  </si>
  <si>
    <t>Data Completeness Status</t>
  </si>
  <si>
    <t>Annualized Run-Rate ($)</t>
  </si>
  <si>
    <t>Business Analyst Diagnostic Verdict</t>
  </si>
  <si>
    <t>Rapid Market Expansion (+37.5%)</t>
  </si>
  <si>
    <t>FY 2022</t>
  </si>
  <si>
    <t>All-Time Peak Volume ($1.46M)</t>
  </si>
  <si>
    <t>FY 2023</t>
  </si>
  <si>
    <t>⚠️ Partial Year (~9.3 Mos)</t>
  </si>
  <si>
    <t>Post-Peak Pullback (-15.8%)</t>
  </si>
  <si>
    <t>FY 2024</t>
  </si>
  <si>
    <t>Truncated start date (March 22); Jan/Feb data entirely omitted; annualized rate ~$1.11M.</t>
  </si>
  <si>
    <t>Stabilization Plateau (-2.2%)</t>
  </si>
  <si>
    <t>FY 2025 (Q1)</t>
  </si>
  <si>
    <t>EXECUTIVE STORYBOARD | MANAGEMENT PERFORMANCE COCKPIT</t>
  </si>
  <si>
    <t>1. FISCAL YEAR</t>
  </si>
  <si>
    <t>2. PRODUCT CATEGORY</t>
  </si>
  <si>
    <t>3. PAYMENT METHOD</t>
  </si>
  <si>
    <t>4. SYSTEM STATUS</t>
  </si>
  <si>
    <t>Select Year:</t>
  </si>
  <si>
    <t>Q1 Run-Rate On Track ($249.8K)</t>
  </si>
  <si>
    <t>Total / Avg</t>
  </si>
  <si>
    <t>All Years</t>
  </si>
  <si>
    <t>Select Category:</t>
  </si>
  <si>
    <t>All Categories</t>
  </si>
  <si>
    <t>Select Mode:</t>
  </si>
  <si>
    <t>✅ Full Year (12.0 Mos)</t>
  </si>
  <si>
    <t>All Payment Modes</t>
  </si>
  <si>
    <t>Net 5Y: +$343K</t>
  </si>
  <si>
    <t>Complete operating baseline; strong post-pandemic expansion (+37.5% YoY).</t>
  </si>
  <si>
    <t>+39.9%</t>
  </si>
  <si>
    <t>▲</t>
  </si>
  <si>
    <t>TOTAL GROSS REVENUE</t>
  </si>
  <si>
    <t>NET OPERATING PROFIT</t>
  </si>
  <si>
    <t>AVERAGE PROFIT MARGIN</t>
  </si>
  <si>
    <t>TOTAL UNITS TRANSACTED</t>
  </si>
  <si>
    <t>Historical all-time peak volume ($1.46M); highest order frequency (288 orders).</t>
  </si>
  <si>
    <t>EXECUTIVE PERFORMANCE DASHBOARD</t>
  </si>
  <si>
    <t>TOTAL SALES AMOUNT</t>
  </si>
  <si>
    <t>TOTAL PROFIT</t>
  </si>
  <si>
    <t>TOTAL QUANTITY SOLD</t>
  </si>
  <si>
    <t>Portfolio Margin: 26.05%</t>
  </si>
  <si>
    <t>Post-peak market normalization (-15.8%); stabilized volume across categories.</t>
  </si>
  <si>
    <t>Key Takeaway: Revenue peaked in 2022 at $1,459,775 before experiencing a -15.8% correction in 2023 ($1,229,723) and establishing an operating floor in 2024 ($1,202,478, -2.2% YoY). The contraction was heavily concentrated in Q4 holiday sales and mid-year promotional flattening.</t>
  </si>
  <si>
    <t>Gross sales volume across filters</t>
  </si>
  <si>
    <t>2. STRATEGIC FINDINGS &amp; ROOT CAUSE CAUSATION ANALYSIS</t>
  </si>
  <si>
    <t>Cumulative net earnings after costs</t>
  </si>
  <si>
    <t>Vulnerability ID</t>
  </si>
  <si>
    <t>Portfolio return on sales ratio</t>
  </si>
  <si>
    <t>Core Vulnerability Area</t>
  </si>
  <si>
    <t>Empirical Evidence / Metric Gap</t>
  </si>
  <si>
    <t>Total quantity of items sold</t>
  </si>
  <si>
    <t>Primary Root Cause (Causation)</t>
  </si>
  <si>
    <t>Operational &amp; Financial Impact</t>
  </si>
  <si>
    <t>Systemic Counter-Measure</t>
  </si>
  <si>
    <t>Operating plateau floor established ($1.20M, -2.2%); stable core run-rate.</t>
  </si>
  <si>
    <t>FY 2025</t>
  </si>
  <si>
    <t>Impact Severity</t>
  </si>
  <si>
    <t>Target Horizon</t>
  </si>
  <si>
    <t>STORY ARC 1: REVENUE DRIVERS &amp; REGIONAL PERFORMANCE</t>
  </si>
  <si>
    <t>VUL-01</t>
  </si>
  <si>
    <t>State / Region</t>
  </si>
  <si>
    <t>Q4 Holiday Revenue Collapse</t>
  </si>
  <si>
    <t>Q4'23: $349,835 ➔ Q4'24: $242,960 (-30.5% / -$106.9K contraction)</t>
  </si>
  <si>
    <t>Overall Gross Revenue</t>
  </si>
  <si>
    <t>Total Revenue</t>
  </si>
  <si>
    <t>Promotional fatigue, uncalibrated static discounting, delayed campaign rollout, and aggressive competitor discounting in holiday windows.</t>
  </si>
  <si>
    <t>Loss of seasonal high-margin revenue; overstocking into Q1; annual revenue contraction despite solid Q1-Q3 performance.</t>
  </si>
  <si>
    <t>Deploy Dynamic Promotional Discount Engine (FRD-01) with tiered bundles, early-bird incentives, and automated budget shifts.</t>
  </si>
  <si>
    <t>Net Profit</t>
  </si>
  <si>
    <t>CRITICAL (P0)</t>
  </si>
  <si>
    <t>Profit Margin</t>
  </si>
  <si>
    <t>California</t>
  </si>
  <si>
    <t>Q3 2025</t>
  </si>
  <si>
    <t>VUL-02</t>
  </si>
  <si>
    <t>Mid-Year July Peak Compression</t>
  </si>
  <si>
    <t>July'23: $181,554 ➔ July'24: $129,944 (-28.4% / -$51.6K decline)</t>
  </si>
  <si>
    <t>Overall Net Profit</t>
  </si>
  <si>
    <t>Stockouts and replenishment delays in high-velocity sub-categories (Markers, Paper), coupled with absence of mid-year flash events.</t>
  </si>
  <si>
    <t>Lost conversion on existing demand; increased customer churn to alternate channels; diminished back-to-school momentum.</t>
  </si>
  <si>
    <t>Implement Predictive Inventory Safety-Stock Engine (FRD-02) and execute dedicated Mid-Year Prime Flash Sale campaign.</t>
  </si>
  <si>
    <t>HIGH (P1)</t>
  </si>
  <si>
    <t>Mean Return on Sales</t>
  </si>
  <si>
    <t>Q2 2025</t>
  </si>
  <si>
    <t>⚠️ In-Progress (~2.4 Mos)</t>
  </si>
  <si>
    <t>Total Units Sold</t>
  </si>
  <si>
    <t>VUL-03</t>
  </si>
  <si>
    <t>Geographic Profit Concentration</t>
  </si>
  <si>
    <t>Florida ($308.7K) &amp; New York ($308.5K) contribute &gt;38% of total net profit</t>
  </si>
  <si>
    <t>Lack of localized marketing and fulfillment hubs in Central/Western states (e.g., Texas, Illinois, Ohio trailing potential).</t>
  </si>
  <si>
    <t>Heightened vulnerability to regional supply chain shocks, weather events, and localized economic downturns.</t>
  </si>
  <si>
    <t>Deploy Regional Distribution Partner Nodes (FRD-04) and geofenced performance marketing to scale Midwest/Texas hubs.</t>
  </si>
  <si>
    <t>CATEGORY PERFORMANCE</t>
  </si>
  <si>
    <t>VUL-04</t>
  </si>
  <si>
    <t>Payment Gateway Fee Inefficiency</t>
  </si>
  <si>
    <t>Cards (Credit/Debit) drive $2.5M+ (41% volume) incurring 1.8%-2.5% interchange fees</t>
  </si>
  <si>
    <t>Sub-optimal checkout default routing; insufficient incentive structure to convert eligible buyers to low-cost UPI.</t>
  </si>
  <si>
    <t>~$45,000+ in avoidable annual processing fees eroding net operating margin across high-volume transactions.</t>
  </si>
  <si>
    <t>Integrate Smart Payment Gateway Router (FRD-04) featuring instant 1.5% UPI checkout cashback incentives.</t>
  </si>
  <si>
    <t>MEDIUM (P2)</t>
  </si>
  <si>
    <t>Database export cut-off on March 15; Q1 pacing yields ~$1.25M (+3.8% vs 2024).</t>
  </si>
  <si>
    <t>Q4 2025</t>
  </si>
  <si>
    <t>Category</t>
  </si>
  <si>
    <t>Total / Portfolio Avg</t>
  </si>
  <si>
    <t>VUL-05</t>
  </si>
  <si>
    <t>Total Sales</t>
  </si>
  <si>
    <t>Dormant High-Value Customer LTV</t>
  </si>
  <si>
    <t>Total Profit</t>
  </si>
  <si>
    <t>Repeat purchase intervals lengthened by 34% post-peak; single-order buyer drop-off</t>
  </si>
  <si>
    <t>Absence of automated lifecycle triggers, post-purchase win-back journeys, and tier-based loyalty incentives.</t>
  </si>
  <si>
    <t>High customer acquisition cost (CAC) inflation; reliance on first-time buyers instead of compounded customer LTV.</t>
  </si>
  <si>
    <t>Implement Automated Customer Re-engagement &amp; Loyalty Triggers (FRD-03) with RFM segmentation.</t>
  </si>
  <si>
    <t>Electronics</t>
  </si>
  <si>
    <t>3. FUNCTIONAL REQUIREMENTS DOCUMENT (FRD) – SYSTEM ARCHITECTURE SPECIFICATIONS</t>
  </si>
  <si>
    <t>Florida</t>
  </si>
  <si>
    <t>Req ID</t>
  </si>
  <si>
    <t>Functional System / Module</t>
  </si>
  <si>
    <t>Business Objective (Why)</t>
  </si>
  <si>
    <t>Target Stakeholder / Owner</t>
  </si>
  <si>
    <t>Functional Specifications (What to Build)</t>
  </si>
  <si>
    <t>Technical Architecture &amp; Logic Rules</t>
  </si>
  <si>
    <t>Success Metric / ROI</t>
  </si>
  <si>
    <t>Release Priority</t>
  </si>
  <si>
    <t>FRD-01</t>
  </si>
  <si>
    <t>Dynamic Promotional Discount Engine</t>
  </si>
  <si>
    <t>Rejuvenate Q4 holiday sales performance and eliminate margin leakage from blanket discounting.</t>
  </si>
  <si>
    <t>Marketing Operations / E-Commerce</t>
  </si>
  <si>
    <t>Automated rule-based discounting engine supporting real-time basket threshold bundles, early-bird flash tiers, and dynamic pricing.</t>
  </si>
  <si>
    <t>Trigger rules: If Cart_Value &gt;= $5,000 AND Margin &gt;= 30%, apply 12% tier; If Product_Velocity &lt; threshold, trigger 8% bundle bump; REST API integration with ERP.</t>
  </si>
  <si>
    <t>+$120K Q4 Revenue Lift; Margin &gt;= 25%</t>
  </si>
  <si>
    <t>4 Full Years | 2 Partials</t>
  </si>
  <si>
    <t>FRD-02</t>
  </si>
  <si>
    <t>Predictive Inventory Reorder System</t>
  </si>
  <si>
    <t>Eliminate stockouts during mid-year July peak and high-demand Back-to-School cycles.</t>
  </si>
  <si>
    <t>Supply Chain &amp; Warehouse Operations</t>
  </si>
  <si>
    <t>Automated replenishment alerts and purchase order generation triggered when velocity-adjusted inventory falls below lead-time consumption thresholds.</t>
  </si>
  <si>
    <t>Formula: Reorder_Point = (Daily_Sales_Rate * Lead_Time_Days) + (Safety_Stock_Z * StdDev_LeadTime_Demand); automated Webhook dispatch to suppliers at reorder point.</t>
  </si>
  <si>
    <t>Zero peak stockouts; -18% holding cost</t>
  </si>
  <si>
    <t>FRD-03</t>
  </si>
  <si>
    <t>Lifecycle Retention &amp; Loyalty Engine</t>
  </si>
  <si>
    <t>Maximize customer Lifetime Value (LTV) and re-activate dormant buyers after peak shopping cycles.</t>
  </si>
  <si>
    <t>5-Year Total: $6.18M across 1,194 transactions; average annualized run-rate ~$1.24M.</t>
  </si>
  <si>
    <t>CRM / Retention Marketing</t>
  </si>
  <si>
    <t>Automated event-driven communication journeys triggered by RFM (Recency, Frequency, Monetary) segmentation with dynamic coupon generation.</t>
  </si>
  <si>
    <t>Event triggers: Inactivity at 45 days ➔ Send curated catalog; Inactivity at 90 days ➔ Send 10% re-engagement voucher; VIP buyer ($10K+ LTV) ➔ Priority concierge routing.</t>
  </si>
  <si>
    <t>+22% Repeat Purchase Rate; LTV +15%</t>
  </si>
  <si>
    <t>3. ROOT CAUSE ANALYSIS &amp; EMPIRICAL HYPOTHESIS TESTING</t>
  </si>
  <si>
    <t>FRD-04</t>
  </si>
  <si>
    <t>Hypothesis ID</t>
  </si>
  <si>
    <t>Smart Payment Gateway Router</t>
  </si>
  <si>
    <t>Investigated Root Cause Area</t>
  </si>
  <si>
    <t>Minimize transaction processing fee overhead by shifting card transaction share toward UPI.</t>
  </si>
  <si>
    <t>Finance / Payment Engineering</t>
  </si>
  <si>
    <t>Underlying Mechanism / Drivers</t>
  </si>
  <si>
    <t>Intelligent checkout routing interface offering instantaneous 1.5% checkout rebate for UPI transactions while preserving full payment redundancy.</t>
  </si>
  <si>
    <t>Empirical Dataset Evidence</t>
  </si>
  <si>
    <t>Observed Metric Bias</t>
  </si>
  <si>
    <t>Conditional logic: If Gateway_A latency &gt; 800ms, failover to Gateway_B; display dynamic 'Save 1.5% with UPI' banner; automated reconciliation API sync with ledger.</t>
  </si>
  <si>
    <t>Severity Level</t>
  </si>
  <si>
    <t>-$35K Annual Fee Savings; UPI Share &gt; 40%</t>
  </si>
  <si>
    <t>Normalized Analytical Reality</t>
  </si>
  <si>
    <t>Hypothesis Verdict</t>
  </si>
  <si>
    <t>FRD-05</t>
  </si>
  <si>
    <t>Real-Time Sales Telemetry Dashboard</t>
  </si>
  <si>
    <t>Equip executive leadership with real-time anomaly detection and early warning alerts for sales velocity drops.</t>
  </si>
  <si>
    <t>H-01</t>
  </si>
  <si>
    <t>Business Intelligence / Executive Team</t>
  </si>
  <si>
    <t>Automated daily tracking of sales velocity vs. forecast, profit margin compression by sub-category, and automated Slack/Email alert dispatch on negative variances.</t>
  </si>
  <si>
    <t>Statistical process control: Alert fired when 7-day rolling sales deviate &gt; 1.96 StdDev from 90-day seasonal trend; scheduled automated data warehouse ingestion.</t>
  </si>
  <si>
    <t>Sub-24h anomaly detection turnaround</t>
  </si>
  <si>
    <t>Data Truncation: 2020 Initial Boundary</t>
  </si>
  <si>
    <t>Furniture</t>
  </si>
  <si>
    <t>4. STRATEGIC ACTION PLAN &amp; IMPLEMENTATION ROADMAP MATRIX</t>
  </si>
  <si>
    <t>System logging commenced on March 22, 2020. January and February (and 3 weeks of March) transactions were either not captured by the legacy ERP or omitted during migration.</t>
  </si>
  <si>
    <t>Earliest recorded order date is 2020-03-22. Exactly 0 transactions exist for the first 81 calendar days of 2020.</t>
  </si>
  <si>
    <t>Gross sales artificially depressed by ~22% relative to a full 12-month calendar year.</t>
  </si>
  <si>
    <t>Action ID</t>
  </si>
  <si>
    <t>Strategic Implementation Action</t>
  </si>
  <si>
    <t>New York</t>
  </si>
  <si>
    <t>HIGH</t>
  </si>
  <si>
    <t>Executive Owner</t>
  </si>
  <si>
    <t>Target Milestone / Date</t>
  </si>
  <si>
    <t>Primary KPI / Target Deliverable</t>
  </si>
  <si>
    <t>Resource Requirements &amp; Dependencies</t>
  </si>
  <si>
    <t>Annualizing the active 284 days ($859.4K) produces an equivalent full-year volume of ~$1,104,800.</t>
  </si>
  <si>
    <t>Priority Level</t>
  </si>
  <si>
    <t>Execution Status</t>
  </si>
  <si>
    <t>CONFIRMED (Structural)</t>
  </si>
  <si>
    <t>ACT-01</t>
  </si>
  <si>
    <t>H-02</t>
  </si>
  <si>
    <t>Architect &amp; Launch Q4 Dynamic Campaign Engine</t>
  </si>
  <si>
    <t>ETL Cut-off: 2025 Mid-Quarter Snapshot</t>
  </si>
  <si>
    <t>The database extract was pulled on March 15, 2025. The dataset reflects only 71 calendar days of activity; remaining 294 days of 2025 operations have not occurred.</t>
  </si>
  <si>
    <t>VP Marketing &amp; E-Commerce</t>
  </si>
  <si>
    <t>+$120,000 Q4 Revenue Lift; 100% Promo Test Coverage</t>
  </si>
  <si>
    <t>FRD-01 Discount API; Creative assets; $25K media budget</t>
  </si>
  <si>
    <t>Texas</t>
  </si>
  <si>
    <t>Office Supplies</t>
  </si>
  <si>
    <t>IN SPECIFICATION</t>
  </si>
  <si>
    <t>Latest recorded order date is 2025-03-15. Order count is 44 transactions over ~2.4 months ($3,518.54/day).</t>
  </si>
  <si>
    <t>Raw annual sum appears down -79.2% vs 2024 if compared without duration adjustment.</t>
  </si>
  <si>
    <t>CRITICAL</t>
  </si>
  <si>
    <t>At $3,519/day, annualized full-year revenue projects to ~$1,284,200 (+6.8% vs 2024).</t>
  </si>
  <si>
    <t>CONFIRMED (Temporal)</t>
  </si>
  <si>
    <t>H-03</t>
  </si>
  <si>
    <t>ACT-02</t>
  </si>
  <si>
    <t>Macroeconomic &amp; COVID-19 Operational Onset</t>
  </si>
  <si>
    <t>Global lockdowns in March 2020 caused widespread logistics freezes, commercial office shutdowns, and customer hesitation, particularly impacting Office Supplies &amp; Furniture.</t>
  </si>
  <si>
    <t>Transaction frequency was suppressed through April-May 2020 before surging sharply in Q3-Q4 as work-from-home demand accelerated.</t>
  </si>
  <si>
    <t>Early-stage velocity lag compounded the missing 81 calendar days of Q1 2020.</t>
  </si>
  <si>
    <t>Deploy Automated Reorder Logic for Mid-Year Peak</t>
  </si>
  <si>
    <t>MEDIUM</t>
  </si>
  <si>
    <t>Head of Supply Chain</t>
  </si>
  <si>
    <t>Explains why early 2020 run-rates were lower than subsequent expansion years (2021-2022).</t>
  </si>
  <si>
    <t>VALIDATED (External Macro)</t>
  </si>
  <si>
    <t>H-04</t>
  </si>
  <si>
    <t>Seasonality Bias: Q4 Peak Holiday Exclusion</t>
  </si>
  <si>
    <t>Zero Stockouts in July; July Revenue &gt;= $175,000</t>
  </si>
  <si>
    <t>Historical quarterly performance shows heavy Q4 backloading (holiday campaigns, enterprise year-end budget exhaustion), generating 32% to 38% of total annual revenue.</t>
  </si>
  <si>
    <t>FRD-02 ERP Integration; Supplier SLA renegotiation</t>
  </si>
  <si>
    <t>In 2021-2024, Q4 consistently outpaced Q1 by 35-50%. 2025 dataset contains zero Q2, Q3, or Q4 transactions.</t>
  </si>
  <si>
    <t>Comparing Q1-only velocity against full-year benchmarks that include peak Q4 introduces severe downward skew.</t>
  </si>
  <si>
    <t>Total</t>
  </si>
  <si>
    <t>Accounting for seasonal Q4 lift projects 2025 full-year revenue closer to $1.32M - $1.38M.</t>
  </si>
  <si>
    <t>VALIDATED (Seasonal Skew)</t>
  </si>
  <si>
    <t>4. ACTIONABLE BUSINESS ANALYST RECOMMENDATIONS &amp; DATA GOVERNANCE ROADMAP</t>
  </si>
  <si>
    <t>Illinois</t>
  </si>
  <si>
    <t>READY TO DEPLOY</t>
  </si>
  <si>
    <t>Rec ID</t>
  </si>
  <si>
    <t>ACT-03</t>
  </si>
  <si>
    <t>Strategic Governance Initiative</t>
  </si>
  <si>
    <t>Build Automated Customer Retention Journeys</t>
  </si>
  <si>
    <t>Director of Growth Marketing</t>
  </si>
  <si>
    <t>Operational Architecture &amp; Implementation Details</t>
  </si>
  <si>
    <t>Functional Owner</t>
  </si>
  <si>
    <t>+22% 90-Day Repeat Rate; +$80K Incremental Gross Sales</t>
  </si>
  <si>
    <t>FRD-03 Klaviyo/Braze webhook; Customer DB sync</t>
  </si>
  <si>
    <t>Business Value / Risk Mitigation</t>
  </si>
  <si>
    <t>Priority</t>
  </si>
  <si>
    <t>Execution Track</t>
  </si>
  <si>
    <t>REC-01</t>
  </si>
  <si>
    <t>PLANNED</t>
  </si>
  <si>
    <t>Enforce Apples-to-Apples YTD Normalization</t>
  </si>
  <si>
    <t>Implement mandatory date-bounded filtering in BI tools. Whenever comparing 2025 to prior years, restrict all comparison cohorts to Jan 1 – Mar 15 (e.g., 2024 YTD vs 2025 YTD).</t>
  </si>
  <si>
    <t>ACT-04</t>
  </si>
  <si>
    <t>BI &amp; Analytics Lead</t>
  </si>
  <si>
    <t>Integrate Smart Gateway Router with UPI Incentives</t>
  </si>
  <si>
    <t>VP Finance &amp; Lead Engineer</t>
  </si>
  <si>
    <t>Immediate (Sprint 1)</t>
  </si>
  <si>
    <t>-$35,000 Annual Processing Fees; 45% UPI Channel Share</t>
  </si>
  <si>
    <t>Eliminates false alarms; provides valid like-for-like pace indicators to executive leadership.</t>
  </si>
  <si>
    <t>FRD-04 Payment gateway SDK; Legal compliance review</t>
  </si>
  <si>
    <t>P1 - Critical</t>
  </si>
  <si>
    <t>Analytics Governance</t>
  </si>
  <si>
    <t>SUB-CATEGORY PERFORMANCE</t>
  </si>
  <si>
    <t>REC-02</t>
  </si>
  <si>
    <t>Automated ETL Metadata &amp; Partial-Period Tagging</t>
  </si>
  <si>
    <t>ACT-05</t>
  </si>
  <si>
    <t>Configure warehouse transformation pipelines to append is_partial_period (boolean) and data_completeness_pct fields based on date range coverage vs 365 calendar days.</t>
  </si>
  <si>
    <t>Contract Central/West Regional Fulfillment Partner</t>
  </si>
  <si>
    <t>VP Operations</t>
  </si>
  <si>
    <t>Data Engineering</t>
  </si>
  <si>
    <t>Average Delivery Time -1.8 Days; Texas Sales +25%</t>
  </si>
  <si>
    <t>3PL contract RFP; WMS inventory sync</t>
  </si>
  <si>
    <t>Sub-Category</t>
  </si>
  <si>
    <t>30-Day Milestone</t>
  </si>
  <si>
    <t>Prevents automated reporting models from ingesting incomplete years into annual CAGR formulas.</t>
  </si>
  <si>
    <t>Data Architecture</t>
  </si>
  <si>
    <t>Ohio</t>
  </si>
  <si>
    <t>ACT-06</t>
  </si>
  <si>
    <t>REC-03</t>
  </si>
  <si>
    <t>Dashboard UX Badging &amp; Visual Disclaimers</t>
  </si>
  <si>
    <t>Markers</t>
  </si>
  <si>
    <t>Update all executive charts (Looker/Sheets) to render incomplete periods with visual styling (e.g., hatched fill, dashed trendline) and explicit asterisk badges ('*Partial Period').</t>
  </si>
  <si>
    <t>Dashboard Product Owner</t>
  </si>
  <si>
    <t>Establish Real-Time KPI Telemetry &amp; Alert Cadence</t>
  </si>
  <si>
    <t>Ensures boardroom stakeholders immediately recognize non-comparable data points at a glance.</t>
  </si>
  <si>
    <t>P2 - High</t>
  </si>
  <si>
    <t>Presentation UX</t>
  </si>
  <si>
    <t>REC-04</t>
  </si>
  <si>
    <t>Director of Business Analytics</t>
  </si>
  <si>
    <t>Run-Rate &amp; Seasonality Forecasting Deployment</t>
  </si>
  <si>
    <t>Embed dynamic run-rate calculation models (YTD_Sales / Elapsed_Days) * 365 * Seasonality_Index to display projected full-year estimates alongside raw realized figures.</t>
  </si>
  <si>
    <t>FP&amp;A / Finance Lead</t>
  </si>
  <si>
    <t>45-Day Milestone</t>
  </si>
  <si>
    <t>Provides actionable full-year outlook for inventory planning and cash-flow management.</t>
  </si>
  <si>
    <t>Financial Planning</t>
  </si>
  <si>
    <t>Weekly variance review operationalized; 100% anomaly coverage</t>
  </si>
  <si>
    <t>5. STAKEHOLDER COMMUNICATION &amp; BOARDROOM PRESENTATION PROTOCOL</t>
  </si>
  <si>
    <t>FRD-05 Dashboard feed; Slack integration webhook</t>
  </si>
  <si>
    <t>RULE 1: MANDATE 'YTD' QUALIFIER</t>
  </si>
  <si>
    <t>Slide titles must state 'FY 2025 YTD (through March 15)' rather than 'FY 2025'. Never place raw $249.8K adjacent to full-year $1.20M without explicit period labels.</t>
  </si>
  <si>
    <t>Governance &amp; Sign-off: This Functional Requirements Document (FRD) and Action Plan is governed by Executive Leadership. Milestone reviews are conducted bi-weekly. Technical change requests must undergo architectural review prior to production deployment.</t>
  </si>
  <si>
    <t>Total Regional Portfolio</t>
  </si>
  <si>
    <t>RULE 2: LEAD WITH RUN-RATE METRICS</t>
  </si>
  <si>
    <t>Communicate that commercial health is strong: Q1 2025 generates $3,519/day (+3.8% ahead of 2024 daily average of $3,285/day), dispelling concerns of organic revenue decline.</t>
  </si>
  <si>
    <t>RULE 3: CONTEXTUALIZE 2020 START DATE</t>
  </si>
  <si>
    <t>Frame 2020's $859.4K as a 9-month operating window during COVID-19 inception. Point out that average monthly volume was $92.4K/mo, which transitioned to $98.5K/mo in 2021.</t>
  </si>
  <si>
    <t>RULE 4: PREVENT UNADJUSTED CAGR PLOTS</t>
  </si>
  <si>
    <t>Tables</t>
  </si>
  <si>
    <t>Direct analysts to calculate CAGR using 2021 to 2024 (full 12-month periods) or use annualized normalized 2020 to 2024 to avoid severe downward distortion from truncated boundaries.</t>
  </si>
  <si>
    <t>STORY ARC 2: CATEGORY ECONOMICS &amp; PAYMENT CHANNELS</t>
  </si>
  <si>
    <t>Sofas</t>
  </si>
  <si>
    <t>Product Category</t>
  </si>
  <si>
    <t>COD</t>
  </si>
  <si>
    <t>Credit Card</t>
  </si>
  <si>
    <t>Debit Card</t>
  </si>
  <si>
    <t>EMI</t>
  </si>
  <si>
    <t>UPI</t>
  </si>
  <si>
    <t>Printers</t>
  </si>
  <si>
    <t>Electronic Games</t>
  </si>
  <si>
    <t>Pens</t>
  </si>
  <si>
    <t>Paper</t>
  </si>
  <si>
    <t>Phones</t>
  </si>
  <si>
    <t>Chairs</t>
  </si>
  <si>
    <t>Laptops</t>
  </si>
  <si>
    <t>Bookcases</t>
  </si>
  <si>
    <t>Binders</t>
  </si>
  <si>
    <t>Total Category Portfolio</t>
  </si>
  <si>
    <t>Yearly Sales Trend</t>
  </si>
  <si>
    <t>Payment Mode</t>
  </si>
  <si>
    <t>Sales Volume ($)</t>
  </si>
  <si>
    <t>Channel Share</t>
  </si>
  <si>
    <t>Total Settlement Volume</t>
  </si>
  <si>
    <t>PaymentMode</t>
  </si>
  <si>
    <t>SUM of Amount</t>
  </si>
  <si>
    <t>EXECUTIVE STRATEGIC STORYTELLING &amp; BOARDROOM INSIGHTS</t>
  </si>
  <si>
    <t>📌 Strategic Performance Takeaways &amp; Boardroom Insights:</t>
  </si>
  <si>
    <r>
      <rPr>
        <rFont val="Roboto"/>
        <color rgb="FF0E1729"/>
        <sz val="10.0"/>
      </rPr>
      <t xml:space="preserve">• Regional Engines: Florida ($308.7K profit) and New York ($308.5K profit) are primary drivers, delivering &gt;38% of total profit with solid 26% margins. </t>
    </r>
    <r>
      <rPr>
        <rFont val="Roboto"/>
        <color rgb="FF38761D"/>
        <sz val="10.0"/>
      </rPr>
      <t>▲</t>
    </r>
  </si>
  <si>
    <r>
      <rPr>
        <rFont val="Roboto"/>
        <color rgb="FF0E1729"/>
        <sz val="10.0"/>
      </rPr>
      <t xml:space="preserve">• Product Economics: Office Supplies delivers peak gross sales ($2.09M) and profit ($551.6K), while Furniture generates the highest margin at 26.51%. </t>
    </r>
    <r>
      <rPr>
        <rFont val="Roboto"/>
        <color rgb="FF6AA84F"/>
        <sz val="10.0"/>
      </rPr>
      <t>▲</t>
    </r>
  </si>
  <si>
    <t>• Payment Channels: Cards (Credit + Debit) drive $2.5M+ in volume, while UPI shows rapid growth in high-frequency transactions.</t>
  </si>
  <si>
    <t>• Executive Action: Expand Florida and New York fulfillment hubs and streamline UPI checkout incentives to minimize card interchange fees.</t>
  </si>
  <si>
    <t>Order ID</t>
  </si>
  <si>
    <t>Amount</t>
  </si>
  <si>
    <t>Profit</t>
  </si>
  <si>
    <t>Quantity</t>
  </si>
  <si>
    <t>Order Date</t>
  </si>
  <si>
    <t>CustomerName</t>
  </si>
  <si>
    <t>State</t>
  </si>
  <si>
    <t>City</t>
  </si>
  <si>
    <t>Year-Month</t>
  </si>
  <si>
    <t>Year</t>
  </si>
  <si>
    <t>Month</t>
  </si>
  <si>
    <t>Quarter</t>
  </si>
  <si>
    <t>Sales Category</t>
  </si>
  <si>
    <t>B-26776</t>
  </si>
  <si>
    <t>Analytics Charts</t>
  </si>
  <si>
    <t>Upi</t>
  </si>
  <si>
    <t>David Padilla</t>
  </si>
  <si>
    <t>Miami</t>
  </si>
  <si>
    <t>2023-06</t>
  </si>
  <si>
    <t>June</t>
  </si>
  <si>
    <t>Connor Morgan</t>
  </si>
  <si>
    <t>Chicago</t>
  </si>
  <si>
    <t>2024-12</t>
  </si>
  <si>
    <t>December</t>
  </si>
  <si>
    <t>Robert Stone</t>
  </si>
  <si>
    <t>Buffalo</t>
  </si>
  <si>
    <t>2021-07</t>
  </si>
  <si>
    <t>July</t>
  </si>
  <si>
    <t>Cod</t>
  </si>
  <si>
    <t>Emi</t>
  </si>
  <si>
    <t>B-26942</t>
  </si>
  <si>
    <t>John Fields</t>
  </si>
  <si>
    <t>Orlando</t>
  </si>
  <si>
    <t>2024-05</t>
  </si>
  <si>
    <t>May</t>
  </si>
  <si>
    <t>Clayton Smith</t>
  </si>
  <si>
    <t>2021-10</t>
  </si>
  <si>
    <t>October</t>
  </si>
  <si>
    <t>B-26640</t>
  </si>
  <si>
    <t>SUM of Profit</t>
  </si>
  <si>
    <t>2020-03</t>
  </si>
  <si>
    <t>2020-04</t>
  </si>
  <si>
    <t>2020-05</t>
  </si>
  <si>
    <t>Richard Kelley</t>
  </si>
  <si>
    <t>2020-06</t>
  </si>
  <si>
    <t>2020-07</t>
  </si>
  <si>
    <t>Los Angeles</t>
  </si>
  <si>
    <t>2022-11</t>
  </si>
  <si>
    <t>November</t>
  </si>
  <si>
    <t>B-25890</t>
  </si>
  <si>
    <t>Jacqueline Hubbard</t>
  </si>
  <si>
    <t>New York City</t>
  </si>
  <si>
    <t>2023-11</t>
  </si>
  <si>
    <t>B-25102</t>
  </si>
  <si>
    <t>2020-08</t>
  </si>
  <si>
    <t>Jessica Anderson</t>
  </si>
  <si>
    <t>March</t>
  </si>
  <si>
    <t>2020-09</t>
  </si>
  <si>
    <t>2020-10</t>
  </si>
  <si>
    <t>2020-11</t>
  </si>
  <si>
    <t>2020-12</t>
  </si>
  <si>
    <t>2021-01</t>
  </si>
  <si>
    <t>2021-02</t>
  </si>
  <si>
    <t>2021-03</t>
  </si>
  <si>
    <t>B-25426</t>
  </si>
  <si>
    <t>2021-04</t>
  </si>
  <si>
    <t>2021-05</t>
  </si>
  <si>
    <t>2021-06</t>
  </si>
  <si>
    <t>2021-08</t>
  </si>
  <si>
    <t>Mary Taylor</t>
  </si>
  <si>
    <t>B-25238</t>
  </si>
  <si>
    <t>Walter Crawford</t>
  </si>
  <si>
    <t>Springfield</t>
  </si>
  <si>
    <t>2021-09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</si>
  <si>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</si>
  <si>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</si>
  <si>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</si>
  <si>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</si>
  <si>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</si>
  <si>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</si>
  <si>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</si>
  <si>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</si>
  <si>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B-25051</t>
  </si>
  <si>
    <t>2022-07</t>
  </si>
  <si>
    <t>2022-08</t>
  </si>
  <si>
    <t>2022-09</t>
  </si>
  <si>
    <t>2022-10</t>
  </si>
  <si>
    <t>2022-12</t>
  </si>
  <si>
    <t>2023-01</t>
  </si>
  <si>
    <t>2023-02</t>
  </si>
  <si>
    <t>2023-03</t>
  </si>
  <si>
    <t>2023-04</t>
  </si>
  <si>
    <t>2023-05</t>
  </si>
  <si>
    <t>Lawrence Robinson</t>
  </si>
  <si>
    <t>2023-07</t>
  </si>
  <si>
    <t>2023-08</t>
  </si>
  <si>
    <t>Rochester</t>
  </si>
  <si>
    <t>2023-09</t>
  </si>
  <si>
    <t>2023-10</t>
  </si>
  <si>
    <t>2023-12</t>
  </si>
  <si>
    <t>2024-01</t>
  </si>
  <si>
    <t>2024-02</t>
  </si>
  <si>
    <t>2024-03</t>
  </si>
  <si>
    <t>2024-04</t>
  </si>
  <si>
    <t>2024-06</t>
  </si>
  <si>
    <t>2024-07</t>
  </si>
  <si>
    <t>2024-08</t>
  </si>
  <si>
    <t>2024-09</t>
  </si>
  <si>
    <t>2024-10</t>
  </si>
  <si>
    <t>2024-11</t>
  </si>
  <si>
    <t>2025-01</t>
  </si>
  <si>
    <t>2025-02</t>
  </si>
  <si>
    <t>2025-03</t>
  </si>
  <si>
    <t>Grand Total</t>
  </si>
  <si>
    <t>B-26510</t>
  </si>
  <si>
    <t>Douglas Pennington</t>
  </si>
  <si>
    <t>Dallas</t>
  </si>
  <si>
    <t>February</t>
  </si>
  <si>
    <t>Ricardo Andrews</t>
  </si>
  <si>
    <t>San Diego</t>
  </si>
  <si>
    <t>January</t>
  </si>
  <si>
    <t>B-25104</t>
  </si>
  <si>
    <t>Paul Raymond</t>
  </si>
  <si>
    <t>B-25553</t>
  </si>
  <si>
    <t>Karen Johnson</t>
  </si>
  <si>
    <t>B-26703</t>
  </si>
  <si>
    <t>Juan Erickson</t>
  </si>
  <si>
    <t>Austin</t>
  </si>
  <si>
    <t>B-26232</t>
  </si>
  <si>
    <t>Alexander Reed</t>
  </si>
  <si>
    <t>Jacqueline Harris</t>
  </si>
  <si>
    <t>San Francisco</t>
  </si>
  <si>
    <t>B-25394</t>
  </si>
  <si>
    <t>Tyler Park</t>
  </si>
  <si>
    <t>Richard Wolfe</t>
  </si>
  <si>
    <t>Columbus</t>
  </si>
  <si>
    <t>B-26157</t>
  </si>
  <si>
    <t>Sierra Rios</t>
  </si>
  <si>
    <t>B-25555</t>
  </si>
  <si>
    <t>Jessica Richardson</t>
  </si>
  <si>
    <t>Kimberly Warren</t>
  </si>
  <si>
    <t>Cincinnati</t>
  </si>
  <si>
    <t>B-26139</t>
  </si>
  <si>
    <t>Casey Garcia</t>
  </si>
  <si>
    <t>B-25032</t>
  </si>
  <si>
    <t>Denise Hampton</t>
  </si>
  <si>
    <t>August</t>
  </si>
  <si>
    <t>B-25730</t>
  </si>
  <si>
    <t>Justin Rodriguez</t>
  </si>
  <si>
    <t>Cleveland</t>
  </si>
  <si>
    <t>Ms. Emily Baxter</t>
  </si>
  <si>
    <t>Austin White</t>
  </si>
  <si>
    <t>B-26470</t>
  </si>
  <si>
    <t>Morgan Montes</t>
  </si>
  <si>
    <t>Christine Mosley</t>
  </si>
  <si>
    <t>Ashley Rodriguez</t>
  </si>
  <si>
    <t>Elizabeth King</t>
  </si>
  <si>
    <t>B-25988</t>
  </si>
  <si>
    <t>Connie Holmes</t>
  </si>
  <si>
    <t>September</t>
  </si>
  <si>
    <t>B-25568</t>
  </si>
  <si>
    <t>Melissa Peck</t>
  </si>
  <si>
    <t>B-26730</t>
  </si>
  <si>
    <t>David Smith</t>
  </si>
  <si>
    <t>Houston</t>
  </si>
  <si>
    <t>April</t>
  </si>
  <si>
    <t>B-25372</t>
  </si>
  <si>
    <t>Heather Jenkins</t>
  </si>
  <si>
    <t>B-26026</t>
  </si>
  <si>
    <t>Kelsey Castaneda</t>
  </si>
  <si>
    <t>Katherine Harris</t>
  </si>
  <si>
    <t>B-25295</t>
  </si>
  <si>
    <t>Paul Rogers</t>
  </si>
  <si>
    <t>B-26121</t>
  </si>
  <si>
    <t>Jon Banks</t>
  </si>
  <si>
    <t>Tampa</t>
  </si>
  <si>
    <t>Michelle Williams</t>
  </si>
  <si>
    <t>B-25560</t>
  </si>
  <si>
    <t>Andrew Allen</t>
  </si>
  <si>
    <t>B-26076</t>
  </si>
  <si>
    <t>Vanessa Bauer</t>
  </si>
  <si>
    <t>Sean Smith</t>
  </si>
  <si>
    <t>B-25872</t>
  </si>
  <si>
    <t>Shelly Sweeney</t>
  </si>
  <si>
    <t>B-26185</t>
  </si>
  <si>
    <t>Emily Gill</t>
  </si>
  <si>
    <t>Brian Patrick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</si>
  <si>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</si>
  <si>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</si>
  <si>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</si>
  <si>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</si>
  <si>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</si>
  <si>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</si>
  <si>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</si>
  <si>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B-25326</t>
  </si>
  <si>
    <t>Charlene Brown</t>
  </si>
  <si>
    <t>Charles Smith</t>
  </si>
  <si>
    <t>B-26795</t>
  </si>
  <si>
    <t>Karen Townsend</t>
  </si>
  <si>
    <t>B-25660</t>
  </si>
  <si>
    <t>Steven Cox</t>
  </si>
  <si>
    <t>Cynthia Rodriguez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</si>
  <si>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</si>
  <si>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</si>
  <si>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</si>
  <si>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</si>
  <si>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</si>
  <si>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</si>
  <si>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</si>
  <si>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</si>
  <si>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</si>
  <si>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</si>
  <si>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</si>
  <si>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</si>
  <si>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</si>
  <si>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</si>
  <si>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</si>
  <si>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</si>
  <si>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</si>
  <si>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</si>
  <si>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</si>
  <si>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</si>
  <si>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</si>
  <si>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B-25884</t>
  </si>
  <si>
    <t>Sean Elliott</t>
  </si>
  <si>
    <t>Wanda West</t>
  </si>
  <si>
    <t>B-26287</t>
  </si>
  <si>
    <t>Renee Solomon</t>
  </si>
  <si>
    <t>B-26564</t>
  </si>
  <si>
    <t>Daryl Miles</t>
  </si>
  <si>
    <t>B-26293</t>
  </si>
  <si>
    <t>Michael Hunt</t>
  </si>
  <si>
    <t>B-25915</t>
  </si>
  <si>
    <t>Adam Clark</t>
  </si>
  <si>
    <t>Amy Olsen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</si>
  <si>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</si>
  <si>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</si>
  <si>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</si>
  <si>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</si>
  <si>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</si>
  <si>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</si>
  <si>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</si>
  <si>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</si>
  <si>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</si>
  <si>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</si>
  <si>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</si>
  <si>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</si>
  <si>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</si>
  <si>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</si>
  <si>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</si>
  <si>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</si>
  <si>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</si>
  <si>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</si>
  <si>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</si>
  <si>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</si>
  <si>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</si>
  <si>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</si>
  <si>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</si>
  <si>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</si>
  <si>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</si>
  <si>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</si>
  <si>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</si>
  <si>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</si>
  <si>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B-26244</t>
  </si>
  <si>
    <t>William Welch</t>
  </si>
  <si>
    <t>B-26365</t>
  </si>
  <si>
    <t>Mr. Curtis Bailey</t>
  </si>
  <si>
    <t>B-26212</t>
  </si>
  <si>
    <t>Janet Carlson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</si>
  <si>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</si>
  <si>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</si>
  <si>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</si>
  <si>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</si>
  <si>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</si>
  <si>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</si>
  <si>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</si>
  <si>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</si>
  <si>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</si>
  <si>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</si>
  <si>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B-25841</t>
  </si>
  <si>
    <t>Jacob Meyer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</si>
  <si>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</si>
  <si>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</si>
  <si>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</si>
  <si>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</si>
  <si>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</si>
  <si>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</si>
  <si>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</si>
  <si>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</si>
  <si>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</si>
  <si>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</si>
  <si>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Lance Cain</t>
  </si>
  <si>
    <t>B-25388</t>
  </si>
  <si>
    <t>Alexandra Moran</t>
  </si>
  <si>
    <t>Sara Castro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</si>
  <si>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</si>
  <si>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</si>
  <si>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</si>
  <si>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</si>
  <si>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</si>
  <si>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</si>
  <si>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</si>
  <si>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</si>
  <si>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</si>
  <si>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</si>
  <si>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</si>
  <si>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</si>
  <si>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</si>
  <si>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</si>
  <si>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</si>
  <si>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B-25885</t>
  </si>
  <si>
    <t>Dawn Howard</t>
  </si>
  <si>
    <t>B-25004</t>
  </si>
  <si>
    <t>Jennifer Marshall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</si>
  <si>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</si>
  <si>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</si>
  <si>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</si>
  <si>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</si>
  <si>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</si>
  <si>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</si>
  <si>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</si>
  <si>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</si>
  <si>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</si>
  <si>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</si>
  <si>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</si>
  <si>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</si>
  <si>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</si>
  <si>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</si>
  <si>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</si>
  <si>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</si>
  <si>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</si>
  <si>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</si>
  <si>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</si>
  <si>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B-25223</t>
  </si>
  <si>
    <t>Heidi Davis</t>
  </si>
  <si>
    <t>B-25714</t>
  </si>
  <si>
    <t>Charles Lane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</si>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</sst>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$#,##0"/>
    <numFmt numFmtId="165" formatCode="YYYY-MM-DD HH:MM:SS"/>
    <numFmt numFmtId="166" formatCode="0000"/>
    <numFmt numFmtId="167" formatCode="&quot;$&quot;#,##0"/>
    <numFmt numFmtId="168" formatCode="0.0%"/>
    <numFmt numFmtId="169" formatCode="+$#,##0;-$#,##0;&quot;—&quot;"/>
    <numFmt numFmtId="170" formatCode="+0.0%;-0.0%;&quot;—&quot;"/>
    <numFmt numFmtId="171" formatCode="yyyy-mm-dd"/>
    <numFmt numFmtId="172" formatCode="mmmm d, yyyy"/>
  </numFmts>
  <fonts count="67">
    <font>
      <sz val="11.0"/>
      <color theme="1"/>
      <name val="Calibri"/>
      <scheme val="minor"/>
    </font>
    <font>
      <b/>
      <sz val="14.0"/>
      <color rgb="FFFFFFFF"/>
      <name val="Montserrat"/>
    </font>
    <font>
      <i/>
      <sz val="9.0"/>
      <color rgb="FFCBD4E0"/>
      <name val="Montserrat"/>
    </font>
    <font>
      <b/>
      <sz val="8.0"/>
      <color rgb="FF465468"/>
      <name val="Montserrat"/>
    </font>
    <font/>
    <font>
      <b/>
      <sz val="18.0"/>
      <color rgb="FF1E283A"/>
      <name val="Montserrat"/>
    </font>
    <font>
      <b/>
      <sz val="18.0"/>
      <color rgb="FF900000"/>
      <name val="Montserrat"/>
    </font>
    <font>
      <b/>
      <sz val="16.0"/>
      <color rgb="FF13522C"/>
      <name val="Montserrat"/>
    </font>
    <font>
      <sz val="8.0"/>
      <color rgb="FF64738B"/>
      <name val="Arial"/>
    </font>
    <font>
      <sz val="8.0"/>
      <color rgb="FF7F1D1D"/>
      <name val="Arial"/>
    </font>
    <font>
      <sz val="8.0"/>
      <color rgb="FF147F3D"/>
      <name val="Arial"/>
    </font>
    <font>
      <b/>
      <sz val="11.0"/>
      <color rgb="FFFFFFFF"/>
      <name val="Montserrat"/>
    </font>
    <font>
      <b/>
      <sz val="10.0"/>
      <color rgb="FFFFFFFF"/>
      <name val="Montserrat"/>
    </font>
    <font>
      <b/>
      <sz val="10.0"/>
      <color rgb="FF191A20"/>
      <name val="Arial"/>
    </font>
    <font>
      <sz val="10.0"/>
      <color rgb="FF191A20"/>
      <name val="Arial"/>
    </font>
    <font>
      <b/>
      <sz val="15.0"/>
      <color rgb="FF1E3989"/>
      <name val="Arial"/>
    </font>
    <font>
      <i/>
      <sz val="9.0"/>
      <color rgb="FF63748A"/>
      <name val="Arial"/>
    </font>
    <font>
      <b/>
      <sz val="9.0"/>
      <color rgb="FF465469"/>
      <name val="Arial"/>
    </font>
    <font>
      <b/>
      <sz val="10.0"/>
      <color rgb="FF1E3989"/>
      <name val="Arial"/>
    </font>
    <font>
      <b/>
      <sz val="10.0"/>
      <color rgb="FF156434"/>
      <name val="Arial"/>
    </font>
    <font>
      <b/>
      <sz val="11.0"/>
      <color rgb="FFFFFFFF"/>
      <name val="Arial"/>
    </font>
    <font>
      <sz val="10.0"/>
      <color rgb="FF1E293A"/>
      <name val="Arial"/>
    </font>
    <font>
      <b/>
      <sz val="10.0"/>
      <color rgb="FFFFFFFF"/>
      <name val="Arial"/>
    </font>
    <font>
      <b/>
      <sz val="10.0"/>
      <color rgb="FF92400E"/>
      <name val="Arial"/>
    </font>
    <font>
      <b/>
      <sz val="13.0"/>
      <color rgb="FFFFFFFF"/>
      <name val="Montserrat"/>
    </font>
    <font>
      <b/>
      <sz val="9.0"/>
      <color rgb="FFFFFFFF"/>
      <name val="Montserrat"/>
    </font>
    <font>
      <b/>
      <sz val="9.0"/>
      <color rgb="FF465469"/>
      <name val="Roboto"/>
    </font>
    <font>
      <b/>
      <sz val="10.0"/>
      <color rgb="FF191A20"/>
      <name val="Montserrat"/>
    </font>
    <font>
      <b/>
      <sz val="10.0"/>
      <color rgb="FF0E1729"/>
      <name val="Roboto"/>
    </font>
    <font>
      <b/>
      <sz val="9.0"/>
      <color rgb="FF0369A1"/>
      <name val="Roboto"/>
    </font>
    <font>
      <color rgb="FF6AA84F"/>
      <name val="Calibri"/>
      <scheme val="minor"/>
    </font>
    <font>
      <b/>
      <sz val="9.0"/>
      <color rgb="FF63748A"/>
      <name val="Montserrat"/>
    </font>
    <font>
      <b/>
      <sz val="18.0"/>
      <color rgb="FF1D293B"/>
      <name val="Montserrat"/>
    </font>
    <font>
      <b/>
      <sz val="16.0"/>
      <color rgb="FFFFFFFF"/>
      <name val="Montserrat"/>
    </font>
    <font>
      <sz val="9.0"/>
      <color rgb="FF73777F"/>
      <name val="Roboto"/>
    </font>
    <font>
      <b/>
      <sz val="18.0"/>
      <color rgb="FF38761D"/>
      <name val="Montserrat"/>
    </font>
    <font>
      <b/>
      <sz val="9.0"/>
      <color rgb="FF4B5C92"/>
      <name val="Montserrat"/>
    </font>
    <font>
      <b/>
      <sz val="18.0"/>
      <color rgb="FF1A1B20"/>
      <name val="Montserrat"/>
    </font>
    <font>
      <i/>
      <sz val="9.0"/>
      <color rgb="FF334054"/>
      <name val="Arial"/>
    </font>
    <font>
      <b/>
      <i/>
      <sz val="8.0"/>
      <color rgb="FF1C4587"/>
      <name val="Roboto"/>
    </font>
    <font>
      <b/>
      <sz val="10.0"/>
      <color theme="1"/>
      <name val="Montserrat"/>
    </font>
    <font>
      <b/>
      <sz val="10.0"/>
      <color theme="1"/>
      <name val="Arial"/>
    </font>
    <font>
      <b/>
      <sz val="9.0"/>
      <color rgb="FF900000"/>
      <name val="Montserrat"/>
    </font>
    <font>
      <sz val="10.0"/>
      <color rgb="FF0E1729"/>
      <name val="Roboto"/>
    </font>
    <font>
      <sz val="9.0"/>
      <color rgb="FF767680"/>
      <name val="Roboto"/>
    </font>
    <font>
      <b/>
      <sz val="9.0"/>
      <color rgb="FF7B5E00"/>
      <name val="Montserrat"/>
    </font>
    <font>
      <b/>
      <sz val="10.0"/>
      <color rgb="FF4B5C92"/>
      <name val="Montserrat"/>
    </font>
    <font>
      <b/>
      <sz val="9.0"/>
      <color rgb="FF13522C"/>
      <name val="Montserrat"/>
    </font>
    <font>
      <sz val="10.0"/>
      <color rgb="FF38761D"/>
      <name val="Roboto"/>
    </font>
    <font>
      <b/>
      <sz val="10.0"/>
      <color rgb="FF0F162A"/>
      <name val="Arial"/>
    </font>
    <font>
      <sz val="10.0"/>
      <color rgb="FF1A1B20"/>
      <name val="Roboto"/>
    </font>
    <font>
      <b/>
      <sz val="9.0"/>
      <color rgb="FF1E3989"/>
      <name val="Arial"/>
    </font>
    <font>
      <sz val="9.0"/>
      <color rgb="FF1E293A"/>
      <name val="Arial"/>
    </font>
    <font>
      <b/>
      <sz val="9.0"/>
      <color rgb="FF991B1B"/>
      <name val="Arial"/>
    </font>
    <font>
      <b/>
      <sz val="9.0"/>
      <color rgb="FF156434"/>
      <name val="Arial"/>
    </font>
    <font>
      <b/>
      <sz val="8.0"/>
      <color rgb="FF3730A3"/>
      <name val="Montserrat"/>
    </font>
    <font>
      <b/>
      <sz val="9.0"/>
      <color rgb="FF92400E"/>
      <name val="Arial"/>
    </font>
    <font>
      <b/>
      <sz val="9.0"/>
      <color rgb="FF1E40AE"/>
      <name val="Arial"/>
    </font>
    <font>
      <b/>
      <sz val="10.0"/>
      <color rgb="FF1A1B20"/>
      <name val="Montserrat"/>
    </font>
    <font>
      <b/>
      <sz val="8.0"/>
      <color rgb="FF13522C"/>
      <name val="Montserrat"/>
    </font>
    <font>
      <i/>
      <sz val="9.0"/>
      <color rgb="FF465468"/>
      <name val="Arial"/>
    </font>
    <font>
      <b/>
      <sz val="10.0"/>
      <color rgb="FF0E1729"/>
      <name val="Montserrat"/>
    </font>
    <font>
      <sz val="10.0"/>
      <color rgb="FF000000"/>
      <name val="Roboto"/>
    </font>
    <font>
      <b/>
      <sz val="10.0"/>
      <color rgb="FF0183C7"/>
      <name val="Montserrat"/>
    </font>
    <font>
      <sz val="10.0"/>
      <color rgb="FF1A1A21"/>
      <name val="Roboto"/>
    </font>
    <font>
      <color rgb="FF3C78D8"/>
      <name val="Calibri"/>
      <scheme val="minor"/>
    </font>
    <font>
      <color theme="1"/>
      <name val="Calibri"/>
      <scheme val="minor"/>
    </font>
  </fonts>
  <fills count="37">
    <fill>
      <patternFill patternType="none"/>
    </fill>
    <fill>
      <patternFill patternType="lightGray"/>
    </fill>
    <fill>
      <patternFill patternType="solid">
        <fgColor rgb="FF1E283A"/>
        <bgColor rgb="FF1E283A"/>
      </patternFill>
    </fill>
    <fill>
      <patternFill patternType="solid">
        <fgColor rgb="FF2C3E6B"/>
        <bgColor rgb="FF2C3E6B"/>
      </patternFill>
    </fill>
    <fill>
      <patternFill patternType="solid">
        <fgColor rgb="FFF1F4F8"/>
        <bgColor rgb="FFF1F4F8"/>
      </patternFill>
    </fill>
    <fill>
      <patternFill patternType="solid">
        <fgColor rgb="FFF8F9FC"/>
        <bgColor rgb="FFF8F9FC"/>
      </patternFill>
    </fill>
    <fill>
      <patternFill patternType="solid">
        <fgColor rgb="FFFFFFFF"/>
        <bgColor rgb="FFFFFFFF"/>
      </patternFill>
    </fill>
    <fill>
      <patternFill patternType="solid">
        <fgColor rgb="FFF0F5F8"/>
        <bgColor rgb="FFF0F5F8"/>
      </patternFill>
    </fill>
    <fill>
      <patternFill patternType="solid">
        <fgColor rgb="FF1E3989"/>
        <bgColor rgb="FF1E3989"/>
      </patternFill>
    </fill>
    <fill>
      <patternFill patternType="solid">
        <fgColor rgb="FFF8F9FB"/>
        <bgColor rgb="FFF8F9FB"/>
      </patternFill>
    </fill>
    <fill>
      <patternFill patternType="solid">
        <fgColor rgb="FF3A82F6"/>
        <bgColor rgb="FF3A82F6"/>
      </patternFill>
    </fill>
    <fill>
      <patternFill patternType="solid">
        <fgColor rgb="FFFDF3C6"/>
        <bgColor rgb="FFFDF3C6"/>
      </patternFill>
    </fill>
    <fill>
      <patternFill patternType="solid">
        <fgColor rgb="FF1D293B"/>
        <bgColor rgb="FF1D293B"/>
      </patternFill>
    </fill>
    <fill>
      <patternFill patternType="solid">
        <fgColor rgb="FF334054"/>
        <bgColor rgb="FF334054"/>
      </patternFill>
    </fill>
    <fill>
      <patternFill patternType="solid">
        <fgColor rgb="FFF1F5F9"/>
        <bgColor rgb="FFF1F5F9"/>
      </patternFill>
    </fill>
    <fill>
      <patternFill patternType="solid">
        <fgColor rgb="FFDEE0F8"/>
        <bgColor rgb="FFDEE0F8"/>
      </patternFill>
    </fill>
    <fill>
      <patternFill patternType="solid">
        <fgColor rgb="FFDCFBE7"/>
        <bgColor rgb="FFDCFBE7"/>
      </patternFill>
    </fill>
    <fill>
      <patternFill patternType="solid">
        <fgColor rgb="FF4B5C92"/>
        <bgColor rgb="FF4B5C92"/>
      </patternFill>
    </fill>
    <fill>
      <patternFill patternType="solid">
        <fgColor rgb="FFEDECF4"/>
        <bgColor rgb="FFEDECF4"/>
      </patternFill>
    </fill>
    <fill>
      <patternFill patternType="solid">
        <fgColor rgb="FFD8E3F8"/>
        <bgColor rgb="FFD8E3F8"/>
      </patternFill>
    </fill>
    <fill>
      <patternFill patternType="solid">
        <fgColor rgb="FFFFD8D8"/>
        <bgColor rgb="FFFFD8D8"/>
      </patternFill>
    </fill>
    <fill>
      <patternFill patternType="solid">
        <fgColor rgb="FFB6D7A8"/>
        <bgColor rgb="FFB6D7A8"/>
      </patternFill>
    </fill>
    <fill>
      <patternFill patternType="solid">
        <fgColor rgb="FFFFF2C4"/>
        <bgColor rgb="FFFFF2C4"/>
      </patternFill>
    </fill>
    <fill>
      <patternFill patternType="solid">
        <fgColor rgb="FFF7FAFB"/>
        <bgColor rgb="FFF7FAFB"/>
      </patternFill>
    </fill>
    <fill>
      <patternFill patternType="solid">
        <fgColor rgb="FFDCE0FF"/>
        <bgColor rgb="FFDCE0FF"/>
      </patternFill>
    </fill>
    <fill>
      <patternFill patternType="solid">
        <fgColor rgb="FFDCFCE6"/>
        <bgColor rgb="FFDCFCE6"/>
      </patternFill>
    </fill>
    <fill>
      <patternFill patternType="solid">
        <fgColor rgb="FFE1E8EF"/>
        <bgColor rgb="FFE1E8EF"/>
      </patternFill>
    </fill>
    <fill>
      <patternFill patternType="solid">
        <fgColor rgb="FFF8F8FF"/>
        <bgColor rgb="FFF8F8FF"/>
      </patternFill>
    </fill>
    <fill>
      <patternFill patternType="solid">
        <fgColor rgb="FFFDE1E1"/>
        <bgColor rgb="FFFDE1E1"/>
      </patternFill>
    </fill>
    <fill>
      <patternFill patternType="solid">
        <fgColor rgb="FFDFE6FF"/>
        <bgColor rgb="FFDFE6FF"/>
      </patternFill>
    </fill>
    <fill>
      <patternFill patternType="solid">
        <fgColor rgb="FFDBEAFD"/>
        <bgColor rgb="FFDBEAFD"/>
      </patternFill>
    </fill>
    <fill>
      <patternFill patternType="solid">
        <fgColor rgb="FFEEF6FF"/>
        <bgColor rgb="FFEEF6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4C5C91"/>
        <bgColor rgb="FF4C5C91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</fills>
  <borders count="63">
    <border/>
    <border>
      <left style="thin">
        <color rgb="FFCBD4E0"/>
      </left>
      <top style="medium">
        <color rgb="FF2C3E6B"/>
      </top>
    </border>
    <border>
      <right style="thin">
        <color rgb="FFCBD4E0"/>
      </right>
      <top style="medium">
        <color rgb="FF2C3E6B"/>
      </top>
    </border>
    <border>
      <left style="thin">
        <color rgb="FFCBD4E0"/>
      </left>
      <top style="medium">
        <color rgb="FF900000"/>
      </top>
    </border>
    <border>
      <right style="thin">
        <color rgb="FFCBD4E0"/>
      </right>
      <top style="medium">
        <color rgb="FF900000"/>
      </top>
    </border>
    <border>
      <left style="thin">
        <color rgb="FFCBD4E0"/>
      </left>
      <top style="medium">
        <color rgb="FF13522C"/>
      </top>
    </border>
    <border>
      <right style="thin">
        <color rgb="FFCBD4E0"/>
      </right>
      <top style="medium">
        <color rgb="FF13522C"/>
      </top>
    </border>
    <border>
      <left style="thin">
        <color rgb="FFCBD4E0"/>
      </left>
    </border>
    <border>
      <right style="thin">
        <color rgb="FFCBD4E0"/>
      </right>
    </border>
    <border>
      <left style="thin">
        <color rgb="FFCBD4E0"/>
      </left>
      <bottom style="thin">
        <color rgb="FFCBD4E0"/>
      </bottom>
    </border>
    <border>
      <right style="thin">
        <color rgb="FFCBD4E0"/>
      </right>
      <bottom style="thin">
        <color rgb="FFCBD4E0"/>
      </bottom>
    </border>
    <border>
      <left style="thin">
        <color rgb="FFCBD4E0"/>
      </left>
      <right style="thin">
        <color rgb="FFCBD4E0"/>
      </right>
      <top style="medium">
        <color rgb="FF2C3E6B"/>
      </top>
      <bottom style="thin">
        <color rgb="FFCBD4E0"/>
      </bottom>
    </border>
    <border>
      <left style="thin">
        <color rgb="FFCBD4E0"/>
      </left>
      <right style="thin">
        <color rgb="FFCBD4E0"/>
      </right>
      <top style="thin">
        <color rgb="FFCBD4E0"/>
      </top>
      <bottom style="thin">
        <color rgb="FFCBD4E0"/>
      </bottom>
    </border>
    <border>
      <left style="thin">
        <color rgb="FFCAD4E0"/>
      </left>
      <top style="thin">
        <color rgb="FFCAD4E0"/>
      </top>
      <bottom style="thin">
        <color rgb="FFCAD4E0"/>
      </bottom>
    </border>
    <border>
      <right style="thin">
        <color rgb="FFCAD4E0"/>
      </right>
      <top style="thin">
        <color rgb="FFCAD4E0"/>
      </top>
      <bottom style="thin">
        <color rgb="FFCAD4E0"/>
      </bottom>
    </border>
    <border>
      <left style="thin">
        <color rgb="FFCAD4E0"/>
      </left>
      <top style="thin">
        <color rgb="FFCAD4E0"/>
      </top>
    </border>
    <border>
      <top style="thin">
        <color rgb="FFCAD4E0"/>
      </top>
    </border>
    <border>
      <right style="thin">
        <color rgb="FFCAD4E0"/>
      </right>
      <top style="thin">
        <color rgb="FFCAD4E0"/>
      </top>
    </border>
    <border>
      <left style="thin">
        <color rgb="FFCAD4E0"/>
      </left>
    </border>
    <border>
      <right style="thin">
        <color rgb="FFCAD4E0"/>
      </right>
    </border>
    <border>
      <left style="thin">
        <color rgb="FFCAD4E0"/>
      </left>
      <bottom style="thin">
        <color rgb="FFCAD4E0"/>
      </bottom>
    </border>
    <border>
      <bottom style="thin">
        <color rgb="FFCAD4E0"/>
      </bottom>
    </border>
    <border>
      <right style="thin">
        <color rgb="FFCAD4E0"/>
      </right>
      <bottom style="thin">
        <color rgb="FFCAD4E0"/>
      </bottom>
    </border>
    <border>
      <left style="thin">
        <color rgb="FFCAD4E0"/>
      </left>
      <right style="thin">
        <color rgb="FFCAD4E0"/>
      </right>
      <top style="thin">
        <color rgb="FFCAD4E0"/>
      </top>
      <bottom style="thin">
        <color rgb="FFCAD4E0"/>
      </bottom>
    </border>
    <border>
      <left style="thin">
        <color rgb="FFCBD4E0"/>
      </left>
      <right style="thin">
        <color rgb="FFCBD4E0"/>
      </right>
      <top style="thin">
        <color rgb="FFCBD4E0"/>
      </top>
    </border>
    <border>
      <left style="thin">
        <color rgb="FF94A2B8"/>
      </left>
      <top style="thin">
        <color rgb="FF94A2B8"/>
      </top>
    </border>
    <border>
      <right style="thin">
        <color rgb="FF94A2B8"/>
      </right>
      <top style="thin">
        <color rgb="FF94A2B8"/>
      </top>
    </border>
    <border>
      <left style="thin">
        <color rgb="FF94A2B8"/>
      </left>
    </border>
    <border>
      <right style="thin">
        <color rgb="FF94A2B8"/>
      </right>
    </border>
    <border>
      <left style="thin">
        <color rgb="FF767680"/>
      </left>
      <top style="thin">
        <color rgb="FF767680"/>
      </top>
      <bottom style="thin">
        <color rgb="FF3F5F90"/>
      </bottom>
    </border>
    <border>
      <right style="thin">
        <color rgb="FF767680"/>
      </right>
      <top style="thin">
        <color rgb="FF767680"/>
      </top>
      <bottom style="thin">
        <color rgb="FF3F5F90"/>
      </bottom>
    </border>
    <border>
      <left style="thin">
        <color rgb="FF767680"/>
      </left>
    </border>
    <border>
      <right style="thin">
        <color rgb="FF767680"/>
      </right>
    </border>
    <border>
      <left style="thin">
        <color rgb="FFCBD4E0"/>
      </left>
      <top style="thin">
        <color rgb="FFCBD4E0"/>
      </top>
      <bottom style="thin">
        <color rgb="FFCBD4E0"/>
      </bottom>
    </border>
    <border>
      <top style="thin">
        <color rgb="FFCBD4E0"/>
      </top>
      <bottom style="thin">
        <color rgb="FFCBD4E0"/>
      </bottom>
    </border>
    <border>
      <right style="thin">
        <color rgb="FFCBD4E0"/>
      </right>
      <top style="thin">
        <color rgb="FFCBD4E0"/>
      </top>
      <bottom style="thin">
        <color rgb="FFCBD4E0"/>
      </bottom>
    </border>
    <border>
      <left style="thin">
        <color rgb="FF94A2B8"/>
      </left>
      <bottom style="thin">
        <color rgb="FF94A2B8"/>
      </bottom>
    </border>
    <border>
      <right style="thin">
        <color rgb="FF94A2B8"/>
      </right>
      <bottom style="thin">
        <color rgb="FF94A2B8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767680"/>
      </left>
      <bottom style="thin">
        <color rgb="FF767680"/>
      </bottom>
    </border>
    <border>
      <right style="thin">
        <color rgb="FF767680"/>
      </right>
      <bottom style="thin">
        <color rgb="FF767680"/>
      </bottom>
    </border>
    <border>
      <left style="thin">
        <color rgb="FF767680"/>
      </left>
      <top style="thin">
        <color rgb="FF767680"/>
      </top>
      <bottom style="thin">
        <color rgb="FFD8D8D8"/>
      </bottom>
    </border>
    <border>
      <top style="thin">
        <color rgb="FF767680"/>
      </top>
      <bottom style="thin">
        <color rgb="FFD8D8D8"/>
      </bottom>
    </border>
    <border>
      <right style="thin">
        <color rgb="FF767680"/>
      </right>
      <top style="thin">
        <color rgb="FF767680"/>
      </top>
      <bottom style="thin">
        <color rgb="FFD8D8D8"/>
      </bottom>
    </border>
    <border>
      <left style="thin">
        <color rgb="FF767680"/>
      </left>
      <top style="thin">
        <color rgb="FFD8D8D8"/>
      </top>
      <bottom style="thin">
        <color rgb="FFD8D8D8"/>
      </bottom>
    </border>
    <border>
      <left style="thin">
        <color rgb="FFCBD4E0"/>
      </left>
      <right style="thin">
        <color rgb="FFCBD4E0"/>
      </right>
      <top style="thin">
        <color rgb="FFCBD4E0"/>
      </top>
      <bottom style="medium">
        <color rgb="FF2C3E6B"/>
      </bottom>
    </border>
    <border>
      <top style="thin">
        <color rgb="FFD8D8D8"/>
      </top>
      <bottom style="thin">
        <color rgb="FFD8D8D8"/>
      </bottom>
    </border>
    <border>
      <right style="thin">
        <color rgb="FF767680"/>
      </right>
      <top style="thin">
        <color rgb="FFD8D8D8"/>
      </top>
      <bottom style="thin">
        <color rgb="FFD8D8D8"/>
      </bottom>
    </border>
    <border>
      <left style="thin">
        <color rgb="FF767680"/>
      </left>
      <top style="thin">
        <color rgb="FFD8D8D8"/>
      </top>
      <bottom style="medium">
        <color rgb="FF767680"/>
      </bottom>
    </border>
    <border>
      <top style="thin">
        <color rgb="FFD8D8D8"/>
      </top>
      <bottom style="medium">
        <color rgb="FF767680"/>
      </bottom>
    </border>
    <border>
      <right style="thin">
        <color rgb="FF767680"/>
      </right>
      <top style="thin">
        <color rgb="FFD8D8D8"/>
      </top>
      <bottom style="medium">
        <color rgb="FF767680"/>
      </bottom>
    </border>
    <border>
      <top style="thin">
        <color rgb="FFCAD4E0"/>
      </top>
      <bottom style="thin">
        <color rgb="FFCAD4E0"/>
      </bottom>
    </border>
    <border>
      <left style="thin">
        <color rgb="FFCBD5E1"/>
      </left>
      <top style="thin">
        <color rgb="FFCBD5E1"/>
      </top>
      <bottom style="double">
        <color rgb="FF1D293B"/>
      </bottom>
    </border>
    <border>
      <top style="thin">
        <color rgb="FFCBD5E1"/>
      </top>
      <bottom style="double">
        <color rgb="FF1D293B"/>
      </bottom>
    </border>
    <border>
      <right style="thin">
        <color rgb="FFCBD5E1"/>
      </right>
      <top style="thin">
        <color rgb="FFCBD5E1"/>
      </top>
      <bottom style="double">
        <color rgb="FF1D293B"/>
      </bottom>
    </border>
    <border>
      <left style="thin">
        <color rgb="FF767680"/>
      </left>
      <right style="thin">
        <color rgb="FF000000"/>
      </right>
      <top style="thin">
        <color rgb="FF767680"/>
      </top>
      <bottom style="thin">
        <color rgb="FFD8D8D8"/>
      </bottom>
    </border>
    <border>
      <left style="thin">
        <color rgb="FF000000"/>
      </left>
      <right style="thin">
        <color rgb="FF767680"/>
      </right>
      <top style="thin">
        <color rgb="FF767680"/>
      </top>
      <bottom style="thin">
        <color rgb="FFD8D8D8"/>
      </bottom>
    </border>
    <border>
      <top style="thin">
        <color rgb="FF94A2B8"/>
      </top>
    </border>
    <border>
      <bottom style="thin">
        <color rgb="FF94A2B8"/>
      </bottom>
    </border>
    <border>
      <left style="thin">
        <color rgb="FF76768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767680"/>
      </right>
      <top style="thin">
        <color rgb="FFD8D8D8"/>
      </top>
      <bottom style="thin">
        <color rgb="FFD8D8D8"/>
      </bottom>
    </border>
    <border>
      <left style="thin">
        <color rgb="FF767680"/>
      </left>
      <right style="thin">
        <color rgb="FF000000"/>
      </right>
      <top style="thin">
        <color rgb="FFD8D8D8"/>
      </top>
      <bottom style="medium">
        <color rgb="FF767680"/>
      </bottom>
    </border>
    <border>
      <left style="thin">
        <color rgb="FF000000"/>
      </left>
      <right style="thin">
        <color rgb="FF767680"/>
      </right>
      <top style="thin">
        <color rgb="FFD8D8D8"/>
      </top>
      <bottom style="medium">
        <color rgb="FF767680"/>
      </bottom>
    </border>
  </borders>
  <cellStyleXfs count="1">
    <xf borderId="0" fillId="0" fontId="0" numFmtId="0" applyAlignment="1" applyFont="1"/>
  </cellStyleXfs>
  <cellXfs count="2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4" fontId="3" numFmtId="0" xfId="0" applyAlignment="1" applyBorder="1" applyFill="1" applyFont="1">
      <alignment horizontal="center" readingOrder="0" vertical="center"/>
    </xf>
    <xf borderId="4" fillId="0" fontId="4" numFmtId="0" xfId="0" applyBorder="1" applyFont="1"/>
    <xf borderId="5" fillId="4" fontId="3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7" fillId="4" fontId="5" numFmtId="167" xfId="0" applyAlignment="1" applyBorder="1" applyFill="1" applyFont="1" applyNumberFormat="1">
      <alignment horizontal="center" readingOrder="0" vertical="center"/>
    </xf>
    <xf borderId="8" fillId="0" fontId="4" numFmtId="0" xfId="0" applyBorder="1" applyFont="1"/>
    <xf borderId="7" fillId="4" fontId="5" numFmtId="0" xfId="0" applyAlignment="1" applyBorder="1" applyFill="1" applyFont="1">
      <alignment horizontal="center" readingOrder="0" vertical="center"/>
    </xf>
    <xf borderId="7" fillId="4" fontId="6" numFmtId="0" xfId="0" applyAlignment="1" applyBorder="1" applyFill="1" applyFont="1">
      <alignment horizontal="center" readingOrder="0" vertical="center"/>
    </xf>
    <xf borderId="7" fillId="4" fontId="7" numFmtId="0" xfId="0" applyAlignment="1" applyBorder="1" applyFill="1" applyFont="1">
      <alignment horizontal="center" readingOrder="0" vertical="center"/>
    </xf>
    <xf borderId="9" fillId="4" fontId="8" numFmtId="0" xfId="0" applyAlignment="1" applyBorder="1" applyFill="1" applyFont="1">
      <alignment horizontal="center" readingOrder="0" vertical="center"/>
    </xf>
    <xf borderId="10" fillId="0" fontId="4" numFmtId="0" xfId="0" applyBorder="1" applyFont="1"/>
    <xf borderId="9" fillId="4" fontId="9" numFmtId="0" xfId="0" applyAlignment="1" applyBorder="1" applyFill="1" applyFont="1">
      <alignment horizontal="center" readingOrder="0" vertical="center"/>
    </xf>
    <xf borderId="9" fillId="4" fontId="10" numFmtId="0" xfId="0" applyAlignment="1" applyBorder="1" applyFill="1" applyFont="1">
      <alignment horizontal="center" readingOrder="0" vertical="center"/>
    </xf>
    <xf borderId="0" fillId="2" fontId="11" numFmtId="0" xfId="0" applyAlignment="1" applyFill="1" applyFont="1">
      <alignment horizontal="left" readingOrder="0" vertical="center"/>
    </xf>
    <xf borderId="11" fillId="3" fontId="12" numFmtId="0" xfId="0" applyAlignment="1" applyBorder="1" applyFill="1" applyFont="1">
      <alignment horizontal="center" readingOrder="0" vertical="center"/>
    </xf>
    <xf borderId="12" fillId="5" fontId="13" numFmtId="0" xfId="0" applyAlignment="1" applyBorder="1" applyFill="1" applyFont="1">
      <alignment horizontal="center" readingOrder="0" vertical="center"/>
    </xf>
    <xf borderId="12" fillId="5" fontId="14" numFmtId="164" xfId="0" applyAlignment="1" applyBorder="1" applyFill="1" applyFont="1" applyNumberFormat="1">
      <alignment horizontal="right" vertical="center"/>
    </xf>
    <xf borderId="12" fillId="5" fontId="14" numFmtId="168" xfId="0" applyAlignment="1" applyBorder="1" applyFill="1" applyFont="1" applyNumberFormat="1">
      <alignment horizontal="right" vertical="center"/>
    </xf>
    <xf borderId="12" fillId="5" fontId="14" numFmtId="169" xfId="0" applyAlignment="1" applyBorder="1" applyFill="1" applyFont="1" applyNumberFormat="1">
      <alignment horizontal="right" readingOrder="0" vertical="center"/>
    </xf>
    <xf borderId="12" fillId="5" fontId="14" numFmtId="170" xfId="0" applyAlignment="1" applyBorder="1" applyFill="1" applyFont="1" applyNumberFormat="1">
      <alignment horizontal="right" readingOrder="0" vertical="center"/>
    </xf>
    <xf borderId="12" fillId="5" fontId="14" numFmtId="0" xfId="0" applyAlignment="1" applyBorder="1" applyFill="1" applyFont="1">
      <alignment horizontal="left" readingOrder="0" vertical="center"/>
    </xf>
    <xf borderId="12" fillId="6" fontId="13" numFmtId="0" xfId="0" applyAlignment="1" applyBorder="1" applyFill="1" applyFont="1">
      <alignment horizontal="center" readingOrder="0" vertical="center"/>
    </xf>
    <xf borderId="0" fillId="0" fontId="15" numFmtId="0" xfId="0" applyAlignment="1" applyFont="1">
      <alignment horizontal="left" readingOrder="0" vertical="center"/>
    </xf>
    <xf borderId="0" fillId="0" fontId="16" numFmtId="0" xfId="0" applyAlignment="1" applyFont="1">
      <alignment horizontal="left" readingOrder="0" vertical="center"/>
    </xf>
    <xf borderId="13" fillId="7" fontId="17" numFmtId="0" xfId="0" applyAlignment="1" applyBorder="1" applyFill="1" applyFont="1">
      <alignment horizontal="center" readingOrder="0" vertical="center"/>
    </xf>
    <xf borderId="14" fillId="0" fontId="4" numFmtId="0" xfId="0" applyBorder="1" applyFont="1"/>
    <xf borderId="13" fillId="6" fontId="18" numFmtId="0" xfId="0" applyAlignment="1" applyBorder="1" applyFill="1" applyFont="1">
      <alignment horizontal="center" readingOrder="0" shrinkToFit="0" vertical="center" wrapText="1"/>
    </xf>
    <xf borderId="13" fillId="6" fontId="19" numFmtId="0" xfId="0" applyAlignment="1" applyBorder="1" applyFill="1" applyFont="1">
      <alignment horizontal="center" readingOrder="0" shrinkToFit="0" vertical="center" wrapText="1"/>
    </xf>
    <xf borderId="0" fillId="8" fontId="20" numFmtId="0" xfId="0" applyAlignment="1" applyFill="1" applyFont="1">
      <alignment horizontal="left" readingOrder="0" vertical="center"/>
    </xf>
    <xf borderId="15" fillId="9" fontId="18" numFmtId="0" xfId="0" applyAlignment="1" applyBorder="1" applyFill="1" applyFont="1">
      <alignment readingOrder="0" vertical="center"/>
    </xf>
    <xf borderId="16" fillId="0" fontId="4" numFmtId="0" xfId="0" applyBorder="1" applyFont="1"/>
    <xf borderId="17" fillId="0" fontId="4" numFmtId="0" xfId="0" applyBorder="1" applyFont="1"/>
    <xf borderId="12" fillId="6" fontId="14" numFmtId="164" xfId="0" applyAlignment="1" applyBorder="1" applyFill="1" applyFont="1" applyNumberFormat="1">
      <alignment horizontal="right" vertical="center"/>
    </xf>
    <xf borderId="18" fillId="9" fontId="21" numFmtId="0" xfId="0" applyAlignment="1" applyBorder="1" applyFill="1" applyFont="1">
      <alignment readingOrder="0" shrinkToFit="0" vertical="top" wrapText="1"/>
    </xf>
    <xf borderId="19" fillId="0" fontId="4" numFmtId="0" xfId="0" applyBorder="1" applyFont="1"/>
    <xf borderId="18" fillId="9" fontId="19" numFmtId="0" xfId="0" applyAlignment="1" applyBorder="1" applyFill="1" applyFont="1">
      <alignment readingOrder="0" vertical="center"/>
    </xf>
    <xf borderId="20" fillId="9" fontId="21" numFmtId="0" xfId="0" applyAlignment="1" applyBorder="1" applyFill="1" applyFont="1">
      <alignment readingOrder="0" shrinkToFit="0" vertical="top" wrapText="1"/>
    </xf>
    <xf borderId="21" fillId="0" fontId="4" numFmtId="0" xfId="0" applyBorder="1" applyFont="1"/>
    <xf borderId="12" fillId="6" fontId="14" numFmtId="168" xfId="0" applyAlignment="1" applyBorder="1" applyFill="1" applyFont="1" applyNumberFormat="1">
      <alignment horizontal="right" vertical="center"/>
    </xf>
    <xf borderId="22" fillId="0" fontId="4" numFmtId="0" xfId="0" applyBorder="1" applyFont="1"/>
    <xf borderId="23" fillId="10" fontId="22" numFmtId="0" xfId="0" applyAlignment="1" applyBorder="1" applyFill="1" applyFont="1">
      <alignment horizontal="center" readingOrder="0" shrinkToFit="0" vertical="center" wrapText="1"/>
    </xf>
    <xf borderId="12" fillId="6" fontId="14" numFmtId="169" xfId="0" applyAlignment="1" applyBorder="1" applyFill="1" applyFont="1" applyNumberFormat="1">
      <alignment horizontal="right" vertical="center"/>
    </xf>
    <xf borderId="23" fillId="10" fontId="22" numFmtId="0" xfId="0" applyAlignment="1" applyBorder="1" applyFill="1" applyFont="1">
      <alignment horizontal="right" readingOrder="0" shrinkToFit="0" vertical="center" wrapText="1"/>
    </xf>
    <xf borderId="12" fillId="6" fontId="14" numFmtId="170" xfId="0" applyAlignment="1" applyBorder="1" applyFill="1" applyFont="1" applyNumberFormat="1">
      <alignment horizontal="right" vertical="center"/>
    </xf>
    <xf borderId="23" fillId="10" fontId="22" numFmtId="0" xfId="0" applyAlignment="1" applyBorder="1" applyFill="1" applyFont="1">
      <alignment horizontal="left" readingOrder="0" shrinkToFit="0" vertical="center" wrapText="1"/>
    </xf>
    <xf borderId="23" fillId="7" fontId="18" numFmtId="0" xfId="0" applyAlignment="1" applyBorder="1" applyFill="1" applyFont="1">
      <alignment horizontal="center" readingOrder="0" vertical="center"/>
    </xf>
    <xf borderId="12" fillId="6" fontId="14" numFmtId="0" xfId="0" applyAlignment="1" applyBorder="1" applyFill="1" applyFont="1">
      <alignment horizontal="left" readingOrder="0" vertical="center"/>
    </xf>
    <xf borderId="23" fillId="7" fontId="21" numFmtId="164" xfId="0" applyAlignment="1" applyBorder="1" applyFill="1" applyFont="1" applyNumberFormat="1">
      <alignment horizontal="right" vertical="center"/>
    </xf>
    <xf borderId="23" fillId="7" fontId="21" numFmtId="3" xfId="0" applyAlignment="1" applyBorder="1" applyFill="1" applyFont="1" applyNumberFormat="1">
      <alignment horizontal="right" vertical="center"/>
    </xf>
    <xf borderId="12" fillId="5" fontId="14" numFmtId="169" xfId="0" applyAlignment="1" applyBorder="1" applyFill="1" applyFont="1" applyNumberFormat="1">
      <alignment horizontal="right" vertical="center"/>
    </xf>
    <xf borderId="12" fillId="5" fontId="14" numFmtId="170" xfId="0" applyAlignment="1" applyBorder="1" applyFill="1" applyFont="1" applyNumberFormat="1">
      <alignment horizontal="right" vertical="center"/>
    </xf>
    <xf borderId="23" fillId="7" fontId="21" numFmtId="171" xfId="0" applyAlignment="1" applyBorder="1" applyFill="1" applyFont="1" applyNumberFormat="1">
      <alignment horizontal="center" vertical="center"/>
    </xf>
    <xf borderId="23" fillId="11" fontId="23" numFmtId="0" xfId="0" applyAlignment="1" applyBorder="1" applyFill="1" applyFont="1">
      <alignment horizontal="center" readingOrder="0" vertical="center"/>
    </xf>
    <xf borderId="23" fillId="7" fontId="21" numFmtId="0" xfId="0" applyAlignment="1" applyBorder="1" applyFill="1" applyFont="1">
      <alignment horizontal="left" readingOrder="0" shrinkToFit="0" vertical="center" wrapText="1"/>
    </xf>
    <xf borderId="23" fillId="6" fontId="18" numFmtId="0" xfId="0" applyAlignment="1" applyBorder="1" applyFill="1" applyFont="1">
      <alignment horizontal="center" readingOrder="0" vertical="center"/>
    </xf>
    <xf borderId="23" fillId="6" fontId="21" numFmtId="164" xfId="0" applyAlignment="1" applyBorder="1" applyFill="1" applyFont="1" applyNumberFormat="1">
      <alignment horizontal="right" vertical="center"/>
    </xf>
    <xf borderId="0" fillId="12" fontId="24" numFmtId="0" xfId="0" applyAlignment="1" applyFill="1" applyFont="1">
      <alignment horizontal="center" readingOrder="0" vertical="center"/>
    </xf>
    <xf borderId="0" fillId="13" fontId="25" numFmtId="0" xfId="0" applyAlignment="1" applyFill="1" applyFont="1">
      <alignment horizontal="center" readingOrder="0" vertical="center"/>
    </xf>
    <xf borderId="23" fillId="6" fontId="21" numFmtId="3" xfId="0" applyAlignment="1" applyBorder="1" applyFill="1" applyFont="1" applyNumberFormat="1">
      <alignment horizontal="right" vertical="center"/>
    </xf>
    <xf borderId="12" fillId="6" fontId="14" numFmtId="169" xfId="0" applyAlignment="1" applyBorder="1" applyFill="1" applyFont="1" applyNumberFormat="1">
      <alignment horizontal="right" readingOrder="0" vertical="center"/>
    </xf>
    <xf borderId="0" fillId="14" fontId="26" numFmtId="0" xfId="0" applyAlignment="1" applyFill="1" applyFont="1">
      <alignment horizontal="right" readingOrder="0" vertical="center"/>
    </xf>
    <xf borderId="12" fillId="6" fontId="14" numFmtId="170" xfId="0" applyAlignment="1" applyBorder="1" applyFill="1" applyFont="1" applyNumberFormat="1">
      <alignment horizontal="right" readingOrder="0" vertical="center"/>
    </xf>
    <xf borderId="23" fillId="6" fontId="21" numFmtId="171" xfId="0" applyAlignment="1" applyBorder="1" applyFill="1" applyFont="1" applyNumberFormat="1">
      <alignment horizontal="center" vertical="center"/>
    </xf>
    <xf borderId="24" fillId="15" fontId="27" numFmtId="0" xfId="0" applyAlignment="1" applyBorder="1" applyFill="1" applyFont="1">
      <alignment horizontal="center" readingOrder="0" vertical="center"/>
    </xf>
    <xf borderId="0" fillId="6" fontId="28" numFmtId="0" xfId="0" applyAlignment="1" applyFill="1" applyFont="1">
      <alignment horizontal="center" readingOrder="0" vertical="center"/>
    </xf>
    <xf borderId="24" fillId="15" fontId="27" numFmtId="164" xfId="0" applyAlignment="1" applyBorder="1" applyFill="1" applyFont="1" applyNumberFormat="1">
      <alignment horizontal="right" vertical="center"/>
    </xf>
    <xf borderId="23" fillId="16" fontId="19" numFmtId="0" xfId="0" applyAlignment="1" applyBorder="1" applyFill="1" applyFont="1">
      <alignment horizontal="center" readingOrder="0" vertical="center"/>
    </xf>
    <xf borderId="24" fillId="15" fontId="27" numFmtId="168" xfId="0" applyAlignment="1" applyBorder="1" applyFill="1" applyFont="1" applyNumberFormat="1">
      <alignment horizontal="right" vertical="center"/>
    </xf>
    <xf borderId="24" fillId="15" fontId="27" numFmtId="0" xfId="0" applyAlignment="1" applyBorder="1" applyFill="1" applyFont="1">
      <alignment horizontal="right" readingOrder="0" vertical="center"/>
    </xf>
    <xf borderId="23" fillId="6" fontId="21" numFmtId="0" xfId="0" applyAlignment="1" applyBorder="1" applyFill="1" applyFont="1">
      <alignment horizontal="left" readingOrder="0" shrinkToFit="0" vertical="center" wrapText="1"/>
    </xf>
    <xf quotePrefix="1" borderId="24" fillId="15" fontId="27" numFmtId="0" xfId="0" applyAlignment="1" applyBorder="1" applyFill="1" applyFont="1">
      <alignment horizontal="right" readingOrder="0" vertical="center"/>
    </xf>
    <xf borderId="0" fillId="14" fontId="29" numFmtId="0" xfId="0" applyAlignment="1" applyFill="1" applyFont="1">
      <alignment horizontal="center" vertical="center"/>
    </xf>
    <xf borderId="0" fillId="0" fontId="30" numFmtId="0" xfId="0" applyAlignment="1" applyFont="1">
      <alignment horizontal="right" readingOrder="0"/>
    </xf>
    <xf borderId="25" fillId="14" fontId="31" numFmtId="0" xfId="0" applyAlignment="1" applyBorder="1" applyFill="1" applyFont="1">
      <alignment horizontal="center" readingOrder="0" vertical="center"/>
    </xf>
    <xf borderId="26" fillId="0" fontId="4" numFmtId="0" xfId="0" applyBorder="1" applyFont="1"/>
    <xf borderId="27" fillId="14" fontId="32" numFmtId="164" xfId="0" applyAlignment="1" applyBorder="1" applyFill="1" applyFont="1" applyNumberFormat="1">
      <alignment horizontal="center" vertical="center"/>
    </xf>
    <xf borderId="28" fillId="0" fontId="4" numFmtId="0" xfId="0" applyBorder="1" applyFont="1"/>
    <xf borderId="0" fillId="17" fontId="33" numFmtId="0" xfId="0" applyAlignment="1" applyFill="1" applyFont="1">
      <alignment horizontal="center" readingOrder="0" vertical="center"/>
    </xf>
    <xf borderId="0" fillId="0" fontId="34" numFmtId="0" xfId="0" applyAlignment="1" applyFont="1">
      <alignment readingOrder="0" vertical="center"/>
    </xf>
    <xf borderId="27" fillId="14" fontId="35" numFmtId="164" xfId="0" applyAlignment="1" applyBorder="1" applyFill="1" applyFont="1" applyNumberFormat="1">
      <alignment horizontal="center" vertical="center"/>
    </xf>
    <xf borderId="29" fillId="18" fontId="36" numFmtId="0" xfId="0" applyAlignment="1" applyBorder="1" applyFill="1" applyFont="1">
      <alignment horizontal="center" readingOrder="0" vertical="center"/>
    </xf>
    <xf borderId="30" fillId="0" fontId="4" numFmtId="0" xfId="0" applyBorder="1" applyFont="1"/>
    <xf borderId="0" fillId="19" fontId="36" numFmtId="0" xfId="0" applyAlignment="1" applyFill="1" applyFont="1">
      <alignment horizontal="center" vertical="center"/>
    </xf>
    <xf borderId="27" fillId="14" fontId="32" numFmtId="168" xfId="0" applyAlignment="1" applyBorder="1" applyFill="1" applyFont="1" applyNumberFormat="1">
      <alignment horizontal="center" vertical="center"/>
    </xf>
    <xf borderId="24" fillId="15" fontId="27" numFmtId="0" xfId="0" applyAlignment="1" applyBorder="1" applyFill="1" applyFont="1">
      <alignment horizontal="left" readingOrder="0" vertical="center"/>
    </xf>
    <xf borderId="31" fillId="18" fontId="37" numFmtId="164" xfId="0" applyAlignment="1" applyBorder="1" applyFill="1" applyFont="1" applyNumberFormat="1">
      <alignment horizontal="center" vertical="center"/>
    </xf>
    <xf borderId="32" fillId="0" fontId="4" numFmtId="0" xfId="0" applyBorder="1" applyFont="1"/>
    <xf borderId="33" fillId="5" fontId="38" numFmtId="0" xfId="0" applyAlignment="1" applyBorder="1" applyFill="1" applyFont="1">
      <alignment horizontal="left" readingOrder="0" shrinkToFit="0" vertical="center" wrapText="1"/>
    </xf>
    <xf borderId="27" fillId="14" fontId="32" numFmtId="3" xfId="0" applyAlignment="1" applyBorder="1" applyFill="1" applyFont="1" applyNumberFormat="1">
      <alignment horizontal="center" vertical="center"/>
    </xf>
    <xf borderId="34" fillId="0" fontId="4" numFmtId="0" xfId="0" applyBorder="1" applyFont="1"/>
    <xf borderId="35" fillId="0" fontId="4" numFmtId="0" xfId="0" applyBorder="1" applyFont="1"/>
    <xf borderId="36" fillId="14" fontId="39" numFmtId="0" xfId="0" applyAlignment="1" applyBorder="1" applyFill="1" applyFont="1">
      <alignment horizontal="center" readingOrder="0" vertical="center"/>
    </xf>
    <xf borderId="0" fillId="6" fontId="37" numFmtId="0" xfId="0" applyAlignment="1" applyFill="1" applyFont="1">
      <alignment horizontal="center" vertical="center"/>
    </xf>
    <xf borderId="37" fillId="0" fontId="4" numFmtId="0" xfId="0" applyBorder="1" applyFont="1"/>
    <xf borderId="31" fillId="18" fontId="37" numFmtId="10" xfId="0" applyAlignment="1" applyBorder="1" applyFill="1" applyFont="1" applyNumberFormat="1">
      <alignment horizontal="center" vertical="center"/>
    </xf>
    <xf borderId="0" fillId="12" fontId="11" numFmtId="0" xfId="0" applyAlignment="1" applyFill="1" applyFont="1">
      <alignment horizontal="left" readingOrder="0" vertical="center"/>
    </xf>
    <xf borderId="12" fillId="5" fontId="40" numFmtId="0" xfId="0" applyAlignment="1" applyBorder="1" applyFill="1" applyFont="1">
      <alignment horizontal="center" readingOrder="0" shrinkToFit="0" vertical="top" wrapText="1"/>
    </xf>
    <xf borderId="31" fillId="18" fontId="37" numFmtId="3" xfId="0" applyAlignment="1" applyBorder="1" applyFill="1" applyFont="1" applyNumberFormat="1">
      <alignment horizontal="center" vertical="center"/>
    </xf>
    <xf borderId="12" fillId="5" fontId="41" numFmtId="0" xfId="0" applyAlignment="1" applyBorder="1" applyFill="1" applyFont="1">
      <alignment horizontal="left" readingOrder="0" shrinkToFit="0" vertical="top" wrapText="1"/>
    </xf>
    <xf borderId="38" fillId="13" fontId="12" numFmtId="0" xfId="0" applyAlignment="1" applyBorder="1" applyFill="1" applyFont="1">
      <alignment horizontal="left" readingOrder="0" vertical="center"/>
    </xf>
    <xf borderId="12" fillId="5" fontId="14" numFmtId="0" xfId="0" applyAlignment="1" applyBorder="1" applyFill="1" applyFont="1">
      <alignment horizontal="left" readingOrder="0" shrinkToFit="0" vertical="top" wrapText="1"/>
    </xf>
    <xf borderId="38" fillId="13" fontId="12" numFmtId="0" xfId="0" applyAlignment="1" applyBorder="1" applyFill="1" applyFont="1">
      <alignment horizontal="right" readingOrder="0" vertical="center"/>
    </xf>
    <xf borderId="12" fillId="20" fontId="42" numFmtId="0" xfId="0" applyAlignment="1" applyBorder="1" applyFill="1" applyFont="1">
      <alignment horizontal="center" readingOrder="0" shrinkToFit="0" vertical="top" wrapText="1"/>
    </xf>
    <xf borderId="12" fillId="5" fontId="14" numFmtId="0" xfId="0" applyAlignment="1" applyBorder="1" applyFill="1" applyFont="1">
      <alignment horizontal="center" readingOrder="0" shrinkToFit="0" vertical="top" wrapText="1"/>
    </xf>
    <xf borderId="38" fillId="21" fontId="43" numFmtId="0" xfId="0" applyAlignment="1" applyBorder="1" applyFill="1" applyFont="1">
      <alignment horizontal="left" readingOrder="0" vertical="center"/>
    </xf>
    <xf borderId="12" fillId="6" fontId="40" numFmtId="0" xfId="0" applyAlignment="1" applyBorder="1" applyFill="1" applyFont="1">
      <alignment horizontal="center" readingOrder="0" shrinkToFit="0" vertical="top" wrapText="1"/>
    </xf>
    <xf borderId="39" fillId="18" fontId="44" numFmtId="0" xfId="0" applyAlignment="1" applyBorder="1" applyFill="1" applyFont="1">
      <alignment horizontal="center" readingOrder="0" vertical="center"/>
    </xf>
    <xf borderId="12" fillId="6" fontId="41" numFmtId="0" xfId="0" applyAlignment="1" applyBorder="1" applyFill="1" applyFont="1">
      <alignment horizontal="left" readingOrder="0" shrinkToFit="0" vertical="top" wrapText="1"/>
    </xf>
    <xf borderId="40" fillId="0" fontId="4" numFmtId="0" xfId="0" applyBorder="1" applyFont="1"/>
    <xf borderId="12" fillId="6" fontId="14" numFmtId="0" xfId="0" applyAlignment="1" applyBorder="1" applyFill="1" applyFont="1">
      <alignment horizontal="left" readingOrder="0" shrinkToFit="0" vertical="top" wrapText="1"/>
    </xf>
    <xf borderId="0" fillId="6" fontId="44" numFmtId="0" xfId="0" applyAlignment="1" applyFill="1" applyFont="1">
      <alignment horizontal="center" vertical="center"/>
    </xf>
    <xf borderId="12" fillId="22" fontId="45" numFmtId="0" xfId="0" applyAlignment="1" applyBorder="1" applyFill="1" applyFont="1">
      <alignment horizontal="center" readingOrder="0" shrinkToFit="0" vertical="top" wrapText="1"/>
    </xf>
    <xf borderId="12" fillId="6" fontId="14" numFmtId="0" xfId="0" applyAlignment="1" applyBorder="1" applyFill="1" applyFont="1">
      <alignment horizontal="center" readingOrder="0" shrinkToFit="0" vertical="top" wrapText="1"/>
    </xf>
    <xf borderId="38" fillId="23" fontId="43" numFmtId="164" xfId="0" applyAlignment="1" applyBorder="1" applyFill="1" applyFont="1" applyNumberFormat="1">
      <alignment horizontal="right" vertical="center"/>
    </xf>
    <xf borderId="41" fillId="24" fontId="46" numFmtId="0" xfId="0" applyAlignment="1" applyBorder="1" applyFill="1" applyFont="1">
      <alignment horizontal="left" readingOrder="0" vertical="center"/>
    </xf>
    <xf borderId="42" fillId="0" fontId="4" numFmtId="0" xfId="0" applyBorder="1" applyFont="1"/>
    <xf borderId="43" fillId="0" fontId="4" numFmtId="0" xfId="0" applyBorder="1" applyFont="1"/>
    <xf borderId="12" fillId="25" fontId="47" numFmtId="0" xfId="0" applyAlignment="1" applyBorder="1" applyFill="1" applyFont="1">
      <alignment horizontal="center" readingOrder="0" shrinkToFit="0" vertical="top" wrapText="1"/>
    </xf>
    <xf borderId="44" fillId="17" fontId="12" numFmtId="0" xfId="0" applyAlignment="1" applyBorder="1" applyFill="1" applyFont="1">
      <alignment horizontal="center" readingOrder="0" vertical="center"/>
    </xf>
    <xf borderId="38" fillId="23" fontId="48" numFmtId="164" xfId="0" applyAlignment="1" applyBorder="1" applyFill="1" applyFont="1" applyNumberFormat="1">
      <alignment horizontal="right" vertical="center"/>
    </xf>
    <xf borderId="23" fillId="26" fontId="49" numFmtId="0" xfId="0" applyAlignment="1" applyBorder="1" applyFill="1" applyFont="1">
      <alignment horizontal="center" readingOrder="0" vertical="center"/>
    </xf>
    <xf borderId="45" fillId="5" fontId="40" numFmtId="0" xfId="0" applyAlignment="1" applyBorder="1" applyFill="1" applyFont="1">
      <alignment horizontal="center" readingOrder="0" shrinkToFit="0" vertical="top" wrapText="1"/>
    </xf>
    <xf borderId="46" fillId="17" fontId="12" numFmtId="0" xfId="0" applyAlignment="1" applyBorder="1" applyFill="1" applyFont="1">
      <alignment horizontal="center" readingOrder="0" vertical="center"/>
    </xf>
    <xf borderId="45" fillId="5" fontId="41" numFmtId="0" xfId="0" applyAlignment="1" applyBorder="1" applyFill="1" applyFont="1">
      <alignment horizontal="left" readingOrder="0" shrinkToFit="0" vertical="top" wrapText="1"/>
    </xf>
    <xf borderId="45" fillId="5" fontId="14" numFmtId="0" xfId="0" applyAlignment="1" applyBorder="1" applyFill="1" applyFont="1">
      <alignment horizontal="left" readingOrder="0" shrinkToFit="0" vertical="top" wrapText="1"/>
    </xf>
    <xf borderId="47" fillId="17" fontId="12" numFmtId="0" xfId="0" applyAlignment="1" applyBorder="1" applyFill="1" applyFont="1">
      <alignment horizontal="center" readingOrder="0" vertical="center"/>
    </xf>
    <xf borderId="23" fillId="26" fontId="49" numFmtId="164" xfId="0" applyAlignment="1" applyBorder="1" applyFill="1" applyFont="1" applyNumberFormat="1">
      <alignment horizontal="right" vertical="center"/>
    </xf>
    <xf borderId="44" fillId="6" fontId="50" numFmtId="0" xfId="0" applyAlignment="1" applyBorder="1" applyFill="1" applyFont="1">
      <alignment horizontal="left" readingOrder="0" vertical="center"/>
    </xf>
    <xf borderId="45" fillId="22" fontId="45" numFmtId="0" xfId="0" applyAlignment="1" applyBorder="1" applyFill="1" applyFont="1">
      <alignment horizontal="center" readingOrder="0" shrinkToFit="0" vertical="top" wrapText="1"/>
    </xf>
    <xf borderId="23" fillId="26" fontId="49" numFmtId="3" xfId="0" applyAlignment="1" applyBorder="1" applyFill="1" applyFont="1" applyNumberFormat="1">
      <alignment horizontal="right" vertical="center"/>
    </xf>
    <xf borderId="45" fillId="5" fontId="14" numFmtId="0" xfId="0" applyAlignment="1" applyBorder="1" applyFill="1" applyFont="1">
      <alignment horizontal="center" readingOrder="0" shrinkToFit="0" vertical="top" wrapText="1"/>
    </xf>
    <xf borderId="38" fillId="23" fontId="43" numFmtId="168" xfId="0" applyAlignment="1" applyBorder="1" applyFill="1" applyFont="1" applyNumberFormat="1">
      <alignment horizontal="right" vertical="center"/>
    </xf>
    <xf borderId="23" fillId="26" fontId="49" numFmtId="171" xfId="0" applyAlignment="1" applyBorder="1" applyFill="1" applyFont="1" applyNumberFormat="1">
      <alignment horizontal="center" vertical="center"/>
    </xf>
    <xf borderId="46" fillId="6" fontId="50" numFmtId="164" xfId="0" applyAlignment="1" applyBorder="1" applyFill="1" applyFont="1" applyNumberFormat="1">
      <alignment horizontal="right" vertical="center"/>
    </xf>
    <xf quotePrefix="1" borderId="12" fillId="5" fontId="41" numFmtId="0" xfId="0" applyAlignment="1" applyBorder="1" applyFill="1" applyFont="1">
      <alignment horizontal="left" readingOrder="0" shrinkToFit="0" vertical="top" wrapText="1"/>
    </xf>
    <xf borderId="38" fillId="6" fontId="43" numFmtId="164" xfId="0" applyAlignment="1" applyBorder="1" applyFill="1" applyFont="1" applyNumberFormat="1">
      <alignment horizontal="right" vertical="center"/>
    </xf>
    <xf borderId="23" fillId="26" fontId="49" numFmtId="0" xfId="0" applyAlignment="1" applyBorder="1" applyFill="1" applyFont="1">
      <alignment horizontal="left" readingOrder="0" shrinkToFit="0" vertical="center" wrapText="1"/>
    </xf>
    <xf borderId="38" fillId="6" fontId="48" numFmtId="164" xfId="0" applyAlignment="1" applyBorder="1" applyFill="1" applyFont="1" applyNumberFormat="1">
      <alignment horizontal="right" vertical="center"/>
    </xf>
    <xf borderId="47" fillId="6" fontId="50" numFmtId="10" xfId="0" applyAlignment="1" applyBorder="1" applyFill="1" applyFont="1" applyNumberFormat="1">
      <alignment horizontal="right" vertical="center"/>
    </xf>
    <xf borderId="23" fillId="7" fontId="51" numFmtId="0" xfId="0" applyAlignment="1" applyBorder="1" applyFill="1" applyFont="1">
      <alignment horizontal="center" readingOrder="0" vertical="center"/>
    </xf>
    <xf borderId="23" fillId="7" fontId="52" numFmtId="0" xfId="0" applyAlignment="1" applyBorder="1" applyFill="1" applyFont="1">
      <alignment horizontal="left" readingOrder="0" shrinkToFit="0" vertical="top" wrapText="1"/>
    </xf>
    <xf borderId="44" fillId="27" fontId="50" numFmtId="0" xfId="0" applyAlignment="1" applyBorder="1" applyFill="1" applyFont="1">
      <alignment horizontal="left" readingOrder="0" vertical="center"/>
    </xf>
    <xf borderId="38" fillId="6" fontId="43" numFmtId="168" xfId="0" applyAlignment="1" applyBorder="1" applyFill="1" applyFont="1" applyNumberFormat="1">
      <alignment horizontal="right" vertical="center"/>
    </xf>
    <xf borderId="23" fillId="28" fontId="53" numFmtId="0" xfId="0" applyAlignment="1" applyBorder="1" applyFill="1" applyFont="1">
      <alignment horizontal="center" readingOrder="0" vertical="center"/>
    </xf>
    <xf borderId="23" fillId="16" fontId="54" numFmtId="0" xfId="0" applyAlignment="1" applyBorder="1" applyFill="1" applyFont="1">
      <alignment horizontal="center" readingOrder="0" vertical="center"/>
    </xf>
    <xf borderId="12" fillId="5" fontId="40" numFmtId="0" xfId="0" applyAlignment="1" applyBorder="1" applyFill="1" applyFont="1">
      <alignment horizontal="center" readingOrder="0" shrinkToFit="0" vertical="center" wrapText="1"/>
    </xf>
    <xf borderId="46" fillId="27" fontId="50" numFmtId="164" xfId="0" applyAlignment="1" applyBorder="1" applyFill="1" applyFont="1" applyNumberFormat="1">
      <alignment horizontal="right" vertical="center"/>
    </xf>
    <xf borderId="23" fillId="6" fontId="51" numFmtId="0" xfId="0" applyAlignment="1" applyBorder="1" applyFill="1" applyFont="1">
      <alignment horizontal="center" readingOrder="0" vertical="center"/>
    </xf>
    <xf borderId="12" fillId="5" fontId="41" numFmtId="0" xfId="0" applyAlignment="1" applyBorder="1" applyFill="1" applyFont="1">
      <alignment horizontal="left" readingOrder="0" shrinkToFit="0" vertical="center" wrapText="1"/>
    </xf>
    <xf borderId="23" fillId="6" fontId="52" numFmtId="0" xfId="0" applyAlignment="1" applyBorder="1" applyFill="1" applyFont="1">
      <alignment horizontal="left" readingOrder="0" shrinkToFit="0" vertical="top" wrapText="1"/>
    </xf>
    <xf borderId="12" fillId="5" fontId="14" numFmtId="0" xfId="0" applyAlignment="1" applyBorder="1" applyFill="1" applyFont="1">
      <alignment horizontal="left" readingOrder="0" shrinkToFit="0" vertical="center" wrapText="1"/>
    </xf>
    <xf borderId="12" fillId="5" fontId="14" numFmtId="172" xfId="0" applyAlignment="1" applyBorder="1" applyFill="1" applyFont="1" applyNumberFormat="1">
      <alignment horizontal="center" readingOrder="0" shrinkToFit="0" vertical="center" wrapText="1"/>
    </xf>
    <xf quotePrefix="1" borderId="12" fillId="5" fontId="41" numFmtId="0" xfId="0" applyAlignment="1" applyBorder="1" applyFill="1" applyFont="1">
      <alignment horizontal="left" readingOrder="0" shrinkToFit="0" vertical="center" wrapText="1"/>
    </xf>
    <xf borderId="47" fillId="27" fontId="50" numFmtId="10" xfId="0" applyAlignment="1" applyBorder="1" applyFill="1" applyFont="1" applyNumberFormat="1">
      <alignment horizontal="right" vertical="center"/>
    </xf>
    <xf borderId="12" fillId="20" fontId="42" numFmtId="0" xfId="0" applyAlignment="1" applyBorder="1" applyFill="1" applyFont="1">
      <alignment horizontal="center" readingOrder="0" shrinkToFit="0" vertical="center" wrapText="1"/>
    </xf>
    <xf borderId="12" fillId="29" fontId="55" numFmtId="0" xfId="0" applyAlignment="1" applyBorder="1" applyFill="1" applyFont="1">
      <alignment horizontal="center" readingOrder="0" shrinkToFit="0" vertical="center" wrapText="1"/>
    </xf>
    <xf borderId="12" fillId="6" fontId="40" numFmtId="0" xfId="0" applyAlignment="1" applyBorder="1" applyFill="1" applyFont="1">
      <alignment horizontal="center" readingOrder="0" shrinkToFit="0" vertical="center" wrapText="1"/>
    </xf>
    <xf borderId="12" fillId="6" fontId="41" numFmtId="0" xfId="0" applyAlignment="1" applyBorder="1" applyFill="1" applyFont="1">
      <alignment horizontal="left" readingOrder="0" shrinkToFit="0" vertical="center" wrapText="1"/>
    </xf>
    <xf borderId="23" fillId="11" fontId="56" numFmtId="0" xfId="0" applyAlignment="1" applyBorder="1" applyFill="1" applyFont="1">
      <alignment horizontal="center" readingOrder="0" vertical="center"/>
    </xf>
    <xf borderId="12" fillId="6" fontId="14" numFmtId="0" xfId="0" applyAlignment="1" applyBorder="1" applyFill="1" applyFont="1">
      <alignment horizontal="left" readingOrder="0" shrinkToFit="0" vertical="center" wrapText="1"/>
    </xf>
    <xf borderId="23" fillId="30" fontId="57" numFmtId="0" xfId="0" applyAlignment="1" applyBorder="1" applyFill="1" applyFont="1">
      <alignment horizontal="center" readingOrder="0" vertical="center"/>
    </xf>
    <xf borderId="12" fillId="6" fontId="14" numFmtId="172" xfId="0" applyAlignment="1" applyBorder="1" applyFill="1" applyFont="1" applyNumberFormat="1">
      <alignment horizontal="center" readingOrder="0" shrinkToFit="0" vertical="center" wrapText="1"/>
    </xf>
    <xf borderId="12" fillId="22" fontId="45" numFmtId="0" xfId="0" applyAlignment="1" applyBorder="1" applyFill="1" applyFont="1">
      <alignment horizontal="center" readingOrder="0" shrinkToFit="0" vertical="center" wrapText="1"/>
    </xf>
    <xf borderId="48" fillId="18" fontId="58" numFmtId="0" xfId="0" applyAlignment="1" applyBorder="1" applyFill="1" applyFont="1">
      <alignment horizontal="left" readingOrder="0" vertical="center"/>
    </xf>
    <xf borderId="12" fillId="25" fontId="59" numFmtId="0" xfId="0" applyAlignment="1" applyBorder="1" applyFill="1" applyFont="1">
      <alignment horizontal="center" readingOrder="0" shrinkToFit="0" vertical="center" wrapText="1"/>
    </xf>
    <xf borderId="38" fillId="23" fontId="43" numFmtId="0" xfId="0" applyAlignment="1" applyBorder="1" applyFill="1" applyFont="1">
      <alignment horizontal="left" readingOrder="0" vertical="center"/>
    </xf>
    <xf borderId="49" fillId="18" fontId="58" numFmtId="164" xfId="0" applyAlignment="1" applyBorder="1" applyFill="1" applyFont="1" applyNumberFormat="1">
      <alignment horizontal="right" vertical="center"/>
    </xf>
    <xf borderId="12" fillId="4" fontId="3" numFmtId="0" xfId="0" applyAlignment="1" applyBorder="1" applyFill="1" applyFont="1">
      <alignment horizontal="center" readingOrder="0" shrinkToFit="0" vertical="center" wrapText="1"/>
    </xf>
    <xf borderId="23" fillId="7" fontId="52" numFmtId="0" xfId="0" applyAlignment="1" applyBorder="1" applyFill="1" applyFont="1">
      <alignment horizontal="center" readingOrder="0" vertical="center"/>
    </xf>
    <xf borderId="50" fillId="18" fontId="58" numFmtId="10" xfId="0" applyAlignment="1" applyBorder="1" applyFill="1" applyFont="1" applyNumberFormat="1">
      <alignment horizontal="right" vertical="center"/>
    </xf>
    <xf borderId="23" fillId="31" fontId="57" numFmtId="0" xfId="0" applyAlignment="1" applyBorder="1" applyFill="1" applyFont="1">
      <alignment horizontal="center" readingOrder="0" vertical="center"/>
    </xf>
    <xf borderId="12" fillId="25" fontId="47" numFmtId="0" xfId="0" applyAlignment="1" applyBorder="1" applyFill="1" applyFont="1">
      <alignment horizontal="center" readingOrder="0" shrinkToFit="0" vertical="center" wrapText="1"/>
    </xf>
    <xf borderId="23" fillId="6" fontId="52" numFmtId="0" xfId="0" applyAlignment="1" applyBorder="1" applyFill="1" applyFont="1">
      <alignment horizontal="center" readingOrder="0" vertical="center"/>
    </xf>
    <xf borderId="24" fillId="6" fontId="40" numFmtId="0" xfId="0" applyAlignment="1" applyBorder="1" applyFill="1" applyFont="1">
      <alignment horizontal="center" readingOrder="0" shrinkToFit="0" vertical="center" wrapText="1"/>
    </xf>
    <xf borderId="38" fillId="6" fontId="43" numFmtId="0" xfId="0" applyAlignment="1" applyBorder="1" applyFill="1" applyFont="1">
      <alignment horizontal="left" readingOrder="0" vertical="center"/>
    </xf>
    <xf borderId="24" fillId="6" fontId="41" numFmtId="0" xfId="0" applyAlignment="1" applyBorder="1" applyFill="1" applyFont="1">
      <alignment horizontal="left" readingOrder="0" shrinkToFit="0" vertical="center" wrapText="1"/>
    </xf>
    <xf borderId="24" fillId="6" fontId="14" numFmtId="0" xfId="0" applyAlignment="1" applyBorder="1" applyFill="1" applyFont="1">
      <alignment horizontal="left" readingOrder="0" shrinkToFit="0" vertical="center" wrapText="1"/>
    </xf>
    <xf borderId="24" fillId="6" fontId="14" numFmtId="172" xfId="0" applyAlignment="1" applyBorder="1" applyFill="1" applyFont="1" applyNumberFormat="1">
      <alignment horizontal="center" readingOrder="0" shrinkToFit="0" vertical="center" wrapText="1"/>
    </xf>
    <xf borderId="24" fillId="22" fontId="45" numFmtId="0" xfId="0" applyAlignment="1" applyBorder="1" applyFill="1" applyFont="1">
      <alignment horizontal="center" readingOrder="0" shrinkToFit="0" vertical="center" wrapText="1"/>
    </xf>
    <xf borderId="23" fillId="7" fontId="51" numFmtId="0" xfId="0" applyAlignment="1" applyBorder="1" applyFill="1" applyFont="1">
      <alignment horizontal="center" readingOrder="0" shrinkToFit="0" vertical="center" wrapText="1"/>
    </xf>
    <xf borderId="24" fillId="25" fontId="59" numFmtId="0" xfId="0" applyAlignment="1" applyBorder="1" applyFill="1" applyFont="1">
      <alignment horizontal="center" readingOrder="0" shrinkToFit="0" vertical="center" wrapText="1"/>
    </xf>
    <xf borderId="13" fillId="6" fontId="52" numFmtId="0" xfId="0" applyAlignment="1" applyBorder="1" applyFill="1" applyFont="1">
      <alignment horizontal="left" readingOrder="0" shrinkToFit="0" vertical="center" wrapText="1"/>
    </xf>
    <xf borderId="51" fillId="0" fontId="4" numFmtId="0" xfId="0" applyBorder="1" applyFont="1"/>
    <xf borderId="33" fillId="4" fontId="60" numFmtId="0" xfId="0" applyAlignment="1" applyBorder="1" applyFill="1" applyFont="1">
      <alignment horizontal="left" readingOrder="0" shrinkToFit="0" vertical="center" wrapText="1"/>
    </xf>
    <xf borderId="52" fillId="14" fontId="61" numFmtId="0" xfId="0" applyAlignment="1" applyBorder="1" applyFill="1" applyFont="1">
      <alignment horizontal="left" readingOrder="0" vertical="center"/>
    </xf>
    <xf borderId="53" fillId="14" fontId="61" numFmtId="164" xfId="0" applyAlignment="1" applyBorder="1" applyFill="1" applyFont="1" applyNumberFormat="1">
      <alignment horizontal="right" vertical="center"/>
    </xf>
    <xf borderId="54" fillId="14" fontId="61" numFmtId="168" xfId="0" applyAlignment="1" applyBorder="1" applyFill="1" applyFont="1" applyNumberFormat="1">
      <alignment horizontal="right" vertical="center"/>
    </xf>
    <xf borderId="38" fillId="21" fontId="62" numFmtId="168" xfId="0" applyAlignment="1" applyBorder="1" applyFill="1" applyFont="1" applyNumberFormat="1">
      <alignment horizontal="right" vertical="center"/>
    </xf>
    <xf borderId="38" fillId="32" fontId="43" numFmtId="164" xfId="0" applyAlignment="1" applyBorder="1" applyFill="1" applyFont="1" applyNumberFormat="1">
      <alignment horizontal="right" vertical="center"/>
    </xf>
    <xf borderId="55" fillId="24" fontId="46" numFmtId="0" xfId="0" applyAlignment="1" applyBorder="1" applyFill="1" applyFont="1">
      <alignment horizontal="left" readingOrder="0" vertical="center"/>
    </xf>
    <xf borderId="56" fillId="24" fontId="46" numFmtId="0" xfId="0" applyAlignment="1" applyBorder="1" applyFill="1" applyFont="1">
      <alignment horizontal="left" vertical="center"/>
    </xf>
    <xf borderId="38" fillId="21" fontId="43" numFmtId="164" xfId="0" applyAlignment="1" applyBorder="1" applyFill="1" applyFont="1" applyNumberFormat="1">
      <alignment horizontal="right" vertical="center"/>
    </xf>
    <xf borderId="41" fillId="17" fontId="12" numFmtId="0" xfId="0" applyAlignment="1" applyBorder="1" applyFill="1" applyFont="1">
      <alignment horizontal="center" vertical="center"/>
    </xf>
    <xf borderId="43" fillId="17" fontId="12" numFmtId="0" xfId="0" applyAlignment="1" applyBorder="1" applyFill="1" applyFont="1">
      <alignment horizontal="center" vertical="center"/>
    </xf>
    <xf borderId="25" fillId="14" fontId="63" numFmtId="0" xfId="0" applyAlignment="1" applyBorder="1" applyFill="1" applyFont="1">
      <alignment horizontal="left" readingOrder="0" shrinkToFit="0" vertical="center" wrapText="1"/>
    </xf>
    <xf borderId="57" fillId="0" fontId="4" numFmtId="0" xfId="0" applyBorder="1" applyFont="1"/>
    <xf borderId="27" fillId="14" fontId="43" numFmtId="0" xfId="0" applyAlignment="1" applyBorder="1" applyFill="1" applyFont="1">
      <alignment horizontal="left" readingOrder="0" shrinkToFit="0" vertical="center" wrapText="1"/>
    </xf>
    <xf borderId="36" fillId="14" fontId="43" numFmtId="0" xfId="0" applyAlignment="1" applyBorder="1" applyFill="1" applyFont="1">
      <alignment horizontal="left" readingOrder="0" shrinkToFit="0" vertical="center" wrapText="1"/>
    </xf>
    <xf borderId="58" fillId="0" fontId="4" numFmtId="0" xfId="0" applyBorder="1" applyFont="1"/>
    <xf borderId="59" fillId="17" fontId="12" numFmtId="0" xfId="0" applyAlignment="1" applyBorder="1" applyFill="1" applyFont="1">
      <alignment horizontal="center" vertical="center"/>
    </xf>
    <xf borderId="60" fillId="17" fontId="12" numFmtId="0" xfId="0" applyAlignment="1" applyBorder="1" applyFill="1" applyFont="1">
      <alignment horizontal="center" vertical="center"/>
    </xf>
    <xf borderId="59" fillId="33" fontId="50" numFmtId="0" xfId="0" applyAlignment="1" applyBorder="1" applyFill="1" applyFont="1">
      <alignment horizontal="center" vertical="center"/>
    </xf>
    <xf borderId="60" fillId="33" fontId="50" numFmtId="164" xfId="0" applyAlignment="1" applyBorder="1" applyFill="1" applyFont="1" applyNumberFormat="1">
      <alignment horizontal="right" vertical="center"/>
    </xf>
    <xf borderId="0" fillId="34" fontId="12" numFmtId="0" xfId="0" applyAlignment="1" applyFill="1" applyFont="1">
      <alignment horizontal="center" readingOrder="0" shrinkToFit="0" vertical="center" wrapText="1"/>
    </xf>
    <xf borderId="59" fillId="35" fontId="50" numFmtId="0" xfId="0" applyAlignment="1" applyBorder="1" applyFill="1" applyFont="1">
      <alignment horizontal="center" vertical="center"/>
    </xf>
    <xf borderId="60" fillId="36" fontId="50" numFmtId="164" xfId="0" applyAlignment="1" applyBorder="1" applyFill="1" applyFont="1" applyNumberFormat="1">
      <alignment horizontal="right" vertical="center"/>
    </xf>
    <xf borderId="0" fillId="34" fontId="12" numFmtId="10" xfId="0" applyAlignment="1" applyFill="1" applyFont="1" applyNumberFormat="1">
      <alignment horizontal="center" readingOrder="0" shrinkToFit="0" vertical="center" wrapText="1"/>
    </xf>
    <xf borderId="61" fillId="18" fontId="58" numFmtId="164" xfId="0" applyAlignment="1" applyBorder="1" applyFill="1" applyFont="1" applyNumberFormat="1">
      <alignment horizontal="left" readingOrder="0" vertical="center"/>
    </xf>
    <xf borderId="0" fillId="34" fontId="12" numFmtId="0" xfId="0" applyAlignment="1" applyFill="1" applyFont="1">
      <alignment horizontal="center" readingOrder="0" shrinkToFit="0" vertical="center" wrapText="1"/>
    </xf>
    <xf borderId="0" fillId="0" fontId="64" numFmtId="0" xfId="0" applyAlignment="1" applyFont="1">
      <alignment horizontal="center" shrinkToFit="0" vertical="center" wrapText="0"/>
    </xf>
    <xf borderId="62" fillId="18" fontId="58" numFmtId="164" xfId="0" applyAlignment="1" applyBorder="1" applyFill="1" applyFont="1" applyNumberFormat="1">
      <alignment horizontal="right" vertical="center"/>
    </xf>
    <xf borderId="0" fillId="0" fontId="64" numFmtId="164" xfId="0" applyAlignment="1" applyFont="1" applyNumberFormat="1">
      <alignment horizontal="right" shrinkToFit="0" vertical="center" wrapText="0"/>
    </xf>
    <xf borderId="0" fillId="0" fontId="64" numFmtId="3" xfId="0" applyAlignment="1" applyFont="1" applyNumberFormat="1">
      <alignment horizontal="right" shrinkToFit="0" vertical="center" wrapText="0"/>
    </xf>
    <xf borderId="0" fillId="17" fontId="33" numFmtId="0" xfId="0" applyAlignment="1" applyFill="1" applyFont="1">
      <alignment horizontal="center" vertical="center"/>
    </xf>
    <xf borderId="0" fillId="0" fontId="64" numFmtId="0" xfId="0" applyAlignment="1" applyFont="1">
      <alignment horizontal="left" shrinkToFit="0" vertical="center" wrapText="0"/>
    </xf>
    <xf borderId="0" fillId="0" fontId="65" numFmtId="0" xfId="0" applyFont="1"/>
    <xf borderId="0" fillId="0" fontId="64" numFmtId="165" xfId="0" applyAlignment="1" applyFont="1" applyNumberFormat="1">
      <alignment horizontal="center" shrinkToFit="0" vertical="center" wrapText="0"/>
    </xf>
    <xf borderId="0" fillId="0" fontId="64" numFmtId="166" xfId="0" applyAlignment="1" applyFont="1" applyNumberFormat="1">
      <alignment horizontal="center" shrinkToFit="0" vertical="center" wrapText="0"/>
    </xf>
    <xf borderId="0" fillId="0" fontId="64" numFmtId="1" xfId="0" applyAlignment="1" applyFont="1" applyNumberFormat="1">
      <alignment horizontal="center" shrinkToFit="0" vertical="center" wrapText="0"/>
    </xf>
    <xf borderId="0" fillId="0" fontId="64" numFmtId="10" xfId="0" applyAlignment="1" applyFont="1" applyNumberFormat="1">
      <alignment horizontal="right" shrinkToFit="0" vertical="center" wrapText="0"/>
    </xf>
    <xf borderId="44" fillId="0" fontId="50" numFmtId="0" xfId="0" applyAlignment="1" applyBorder="1" applyFont="1">
      <alignment horizontal="left" vertical="center"/>
    </xf>
    <xf borderId="47" fillId="0" fontId="50" numFmtId="164" xfId="0" applyAlignment="1" applyBorder="1" applyFont="1" applyNumberFormat="1">
      <alignment horizontal="right" vertical="center"/>
    </xf>
    <xf borderId="48" fillId="18" fontId="58" numFmtId="164" xfId="0" applyAlignment="1" applyBorder="1" applyFill="1" applyFont="1" applyNumberFormat="1">
      <alignment horizontal="left" readingOrder="0" vertical="center"/>
    </xf>
    <xf borderId="50" fillId="18" fontId="58" numFmtId="164" xfId="0" applyAlignment="1" applyBorder="1" applyFill="1" applyFont="1" applyNumberFormat="1">
      <alignment horizontal="right" vertical="center"/>
    </xf>
    <xf borderId="44" fillId="0" fontId="66" numFmtId="166" xfId="0" applyBorder="1" applyFont="1" applyNumberFormat="1"/>
    <xf borderId="47" fillId="0" fontId="66" numFmtId="164" xfId="0" applyBorder="1" applyFont="1" applyNumberFormat="1"/>
    <xf borderId="44" fillId="0" fontId="66" numFmtId="0" xfId="0" applyBorder="1" applyFont="1"/>
    <xf borderId="48" fillId="0" fontId="66" numFmtId="0" xfId="0" applyAlignment="1" applyBorder="1" applyFont="1">
      <alignment readingOrder="0"/>
    </xf>
    <xf borderId="50" fillId="0" fontId="66" numFmtId="164" xfId="0" applyBorder="1" applyFont="1" applyNumberFormat="1"/>
    <xf borderId="44" fillId="0" fontId="50" numFmtId="166" xfId="0" applyAlignment="1" applyBorder="1" applyFont="1" applyNumberFormat="1">
      <alignment horizontal="center" vertical="center"/>
    </xf>
    <xf borderId="44" fillId="0" fontId="50" numFmtId="0" xfId="0" applyAlignment="1" applyBorder="1" applyFont="1">
      <alignment horizontal="center" vertical="center"/>
    </xf>
    <xf borderId="48" fillId="0" fontId="50" numFmtId="0" xfId="0" applyAlignment="1" applyBorder="1" applyFont="1">
      <alignment horizontal="left" vertical="center"/>
    </xf>
    <xf borderId="50" fillId="0" fontId="50" numFmtId="164" xfId="0" applyAlignment="1" applyBorder="1" applyFont="1" applyNumberFormat="1">
      <alignment horizontal="right" vertical="center"/>
    </xf>
    <xf borderId="48" fillId="0" fontId="50" numFmtId="0" xfId="0" applyAlignment="1" applyBorder="1" applyFont="1">
      <alignment horizontal="center" vertical="center"/>
    </xf>
    <xf borderId="0" fillId="0" fontId="66" numFmtId="0" xfId="0" applyFont="1"/>
    <xf borderId="0" fillId="0" fontId="66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C5C91"/>
          <bgColor rgb="FF4C5C9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AF8FF"/>
          <bgColor rgb="FFFAF8FF"/>
        </patternFill>
      </fill>
      <border/>
    </dxf>
    <dxf>
      <border>
        <left style="thin">
          <color rgb="FF4C5C91"/>
        </left>
        <right style="thin">
          <color rgb="FF4C5C91"/>
        </right>
        <top style="thin">
          <color rgb="FF4C5C91"/>
        </top>
        <bottom style="thin">
          <color rgb="FF4C5C91"/>
        </bottom>
      </border>
    </dxf>
  </dxfs>
  <tableStyles count="1">
    <tableStyle count="4" pivot="0" name="KPI calculated colum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1A1A21"/>
                </a:solidFill>
                <a:latin typeface="Montserrat"/>
              </a:defRPr>
            </a:pPr>
            <a:r>
              <a:rPr b="1" sz="1200">
                <a:solidFill>
                  <a:srgbClr val="1A1A21"/>
                </a:solidFill>
                <a:latin typeface="Montserrat"/>
              </a:rPr>
              <a:t>Regional Revenue &amp; Net Profit by State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'Executive Storyboard'!$C$11</c:f>
            </c:strRef>
          </c:tx>
          <c:spPr>
            <a:solidFill>
              <a:srgbClr val="4C5C91"/>
            </a:solidFill>
            <a:ln cmpd="sng">
              <a:noFill/>
            </a:ln>
          </c:spPr>
          <c:invertIfNegative val="0"/>
          <c:cat>
            <c:strRef>
              <c:f>'Executive Storyboard'!$B$12:$B$17</c:f>
            </c:strRef>
          </c:cat>
          <c:val>
            <c:numRef>
              <c:f>'Executive Storyboard'!$C$12:$C$17</c:f>
              <c:numCache/>
            </c:numRef>
          </c:val>
        </c:ser>
        <c:ser>
          <c:idx val="1"/>
          <c:order val="1"/>
          <c:tx>
            <c:strRef>
              <c:f>'Executive Storyboard'!$D$11</c:f>
            </c:strRef>
          </c:tx>
          <c:spPr>
            <a:solidFill>
              <a:srgbClr val="3FBF8A"/>
            </a:solidFill>
            <a:ln cmpd="sng">
              <a:noFill/>
            </a:ln>
          </c:spPr>
          <c:invertIfNegative val="0"/>
          <c:cat>
            <c:strRef>
              <c:f>'Executive Storyboard'!$B$12:$B$17</c:f>
            </c:strRef>
          </c:cat>
          <c:val>
            <c:numRef>
              <c:f>'Executive Storyboard'!$D$12:$D$17</c:f>
              <c:numCache/>
            </c:numRef>
          </c:val>
        </c:ser>
        <c:axId val="1121490011"/>
        <c:axId val="908332283"/>
      </c:barChart>
      <c:catAx>
        <c:axId val="1121490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08332283"/>
      </c:catAx>
      <c:valAx>
        <c:axId val="9083322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2149001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1A1A21"/>
                </a:solidFill>
                <a:latin typeface="Montserrat"/>
              </a:defRPr>
            </a:pPr>
            <a:r>
              <a:rPr b="1" sz="1200">
                <a:solidFill>
                  <a:srgbClr val="1A1A21"/>
                </a:solidFill>
                <a:latin typeface="Montserrat"/>
              </a:rPr>
              <a:t>Payment Mode Revenue Contribution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'Executive Storyboard'!$B$28:$B$33</c:f>
            </c:strRef>
          </c:cat>
          <c:val>
            <c:numRef>
              <c:f>'Executive Storyboard'!$C$28:$C$33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1A1A21"/>
                </a:solidFill>
                <a:latin typeface="Montserrat"/>
              </a:defRPr>
            </a:pPr>
            <a:r>
              <a:rPr b="1" sz="1200">
                <a:solidFill>
                  <a:srgbClr val="1A1A21"/>
                </a:solidFill>
                <a:latin typeface="Montserrat"/>
              </a:rPr>
              <a:t>Top 10 Products by Sales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Analytics_Charts!$K$22</c:f>
            </c:strRef>
          </c:tx>
          <c:spPr>
            <a:solidFill>
              <a:srgbClr val="4C5C91"/>
            </a:solidFill>
            <a:ln cmpd="sng">
              <a:noFill/>
            </a:ln>
          </c:spPr>
          <c:invertIfNegative val="0"/>
          <c:cat>
            <c:strRef>
              <c:f>Analytics_Charts!$J$23:$J$34</c:f>
            </c:strRef>
          </c:cat>
          <c:val>
            <c:numRef>
              <c:f>Analytics_Charts!$K$23:$K$34</c:f>
              <c:numCache/>
            </c:numRef>
          </c:val>
        </c:ser>
        <c:axId val="1797969736"/>
        <c:axId val="1231868363"/>
      </c:barChart>
      <c:catAx>
        <c:axId val="17979697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31868363"/>
      </c:catAx>
      <c:valAx>
        <c:axId val="12318683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9796973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  <a:r>
              <a:rPr b="0">
                <a:solidFill>
                  <a:srgbClr val="1C4587"/>
                </a:solidFill>
                <a:latin typeface="+mn-lt"/>
              </a:rPr>
              <a:t>Profitability by Sub-Category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KPI_Summary!$D$17</c:f>
            </c:strRef>
          </c:tx>
          <c:spPr>
            <a:solidFill>
              <a:srgbClr val="38761D"/>
            </a:solidFill>
            <a:ln cmpd="sng">
              <a:noFill/>
            </a:ln>
          </c:spPr>
          <c:invertIfNegative val="0"/>
          <c:cat>
            <c:strRef>
              <c:f>KPI_Summary!$B$18:$B$29</c:f>
            </c:strRef>
          </c:cat>
          <c:val>
            <c:numRef>
              <c:f>KPI_Summary!$D$18:$D$29</c:f>
              <c:numCache/>
            </c:numRef>
          </c:val>
        </c:ser>
        <c:axId val="866281259"/>
        <c:axId val="1443587132"/>
      </c:barChart>
      <c:catAx>
        <c:axId val="8662812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Sub-Category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3587132"/>
      </c:catAx>
      <c:valAx>
        <c:axId val="14435871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Profit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6281259"/>
        <c:crosses val="max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73763"/>
                </a:solidFill>
                <a:latin typeface="+mn-lt"/>
              </a:defRPr>
            </a:pPr>
            <a:r>
              <a:rPr b="0" sz="2000">
                <a:solidFill>
                  <a:srgbClr val="073763"/>
                </a:solidFill>
                <a:latin typeface="+mn-lt"/>
              </a:rPr>
              <a:t>Category Sales Breakdown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KPI_Summary!$C$10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KPI_Summary!$B$11:$B$13</c:f>
            </c:strRef>
          </c:cat>
          <c:val>
            <c:numRef>
              <c:f>KPI_Summary!$C$11:$C$13</c:f>
              <c:numCache/>
            </c:numRef>
          </c:val>
        </c:ser>
        <c:axId val="438960327"/>
        <c:axId val="162839581"/>
      </c:barChart>
      <c:catAx>
        <c:axId val="438960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839581"/>
      </c:catAx>
      <c:valAx>
        <c:axId val="162839581"/>
        <c:scaling>
          <c:orientation val="minMax"/>
          <c:max val="2500000.0"/>
          <c:min val="5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Sales Amount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8960327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1A1A21"/>
                </a:solidFill>
                <a:latin typeface="Montserrat"/>
              </a:defRPr>
            </a:pPr>
            <a:r>
              <a:rPr b="1" sz="1400">
                <a:solidFill>
                  <a:srgbClr val="1A1A21"/>
                </a:solidFill>
                <a:latin typeface="Montserrat"/>
              </a:rPr>
              <a:t>Monthly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Analytics_Charts!$B$4</c:f>
            </c:strRef>
          </c:tx>
          <c:spPr>
            <a:ln cmpd="sng">
              <a:solidFill>
                <a:srgbClr val="4C5C91"/>
              </a:solidFill>
            </a:ln>
          </c:spPr>
          <c:marker>
            <c:symbol val="none"/>
          </c:marker>
          <c:cat>
            <c:strRef>
              <c:f>Analytics_Charts!$A$5:$A$65</c:f>
            </c:strRef>
          </c:cat>
          <c:val>
            <c:numRef>
              <c:f>Analytics_Charts!$B$5:$B$65</c:f>
              <c:numCache/>
            </c:numRef>
          </c:val>
          <c:smooth val="1"/>
        </c:ser>
        <c:axId val="176514332"/>
        <c:axId val="594964312"/>
      </c:lineChart>
      <c:catAx>
        <c:axId val="176514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0" sz="1000">
                    <a:solidFill>
                      <a:srgbClr val="000000"/>
                    </a:solidFill>
                    <a:latin typeface="Roboto"/>
                  </a:rPr>
                  <a:t>Year-Month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94964312"/>
      </c:catAx>
      <c:valAx>
        <c:axId val="594964312"/>
        <c:scaling>
          <c:orientation val="minMax"/>
          <c:max val="2500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0" sz="1000">
                    <a:solidFill>
                      <a:srgbClr val="000000"/>
                    </a:solidFill>
                    <a:latin typeface="Roboto"/>
                  </a:rPr>
                  <a:t>Sales Amount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65143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1A1B20"/>
                </a:solidFill>
                <a:latin typeface="Montserrat"/>
              </a:defRPr>
            </a:pPr>
            <a:r>
              <a:rPr b="1" sz="1400">
                <a:solidFill>
                  <a:srgbClr val="1A1B20"/>
                </a:solidFill>
                <a:latin typeface="Montserrat"/>
              </a:rPr>
              <a:t>Monthly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Analytics_Charts!$B$4</c:f>
            </c:strRef>
          </c:tx>
          <c:spPr>
            <a:ln cmpd="sng">
              <a:solidFill>
                <a:srgbClr val="4B5C92"/>
              </a:solidFill>
            </a:ln>
          </c:spPr>
          <c:marker>
            <c:symbol val="none"/>
          </c:marker>
          <c:cat>
            <c:strRef>
              <c:f>Analytics_Charts!$A$5:$A$65</c:f>
            </c:strRef>
          </c:cat>
          <c:val>
            <c:numRef>
              <c:f>Analytics_Charts!$B$5:$B$65</c:f>
              <c:numCache/>
            </c:numRef>
          </c:val>
          <c:smooth val="1"/>
        </c:ser>
        <c:axId val="1132238400"/>
        <c:axId val="856170257"/>
      </c:lineChart>
      <c:catAx>
        <c:axId val="1132238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Year-Month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6170257"/>
      </c:catAx>
      <c:valAx>
        <c:axId val="856170257"/>
        <c:scaling>
          <c:orientation val="minMax"/>
          <c:max val="2500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Sales Amount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22384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1A1B20"/>
                </a:solidFill>
                <a:latin typeface="Montserrat"/>
              </a:defRPr>
            </a:pPr>
            <a:r>
              <a:rPr b="1" sz="1400">
                <a:solidFill>
                  <a:srgbClr val="1A1B20"/>
                </a:solidFill>
                <a:latin typeface="Montserrat"/>
              </a:rPr>
              <a:t>Profit by Region (State)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Analytics_Charts!$K$4</c:f>
            </c:strRef>
          </c:tx>
          <c:spPr>
            <a:solidFill>
              <a:srgbClr val="3EC08A"/>
            </a:solidFill>
            <a:ln cmpd="sng">
              <a:noFill/>
            </a:ln>
          </c:spPr>
          <c:invertIfNegative val="0"/>
          <c:cat>
            <c:strRef>
              <c:f>Analytics_Charts!$J$5:$J$10</c:f>
            </c:strRef>
          </c:cat>
          <c:val>
            <c:numRef>
              <c:f>Analytics_Charts!$K$5:$K$10</c:f>
              <c:numCache/>
            </c:numRef>
          </c:val>
        </c:ser>
        <c:axId val="1947037275"/>
        <c:axId val="1599789399"/>
      </c:barChart>
      <c:catAx>
        <c:axId val="19470372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100">
                    <a:solidFill>
                      <a:srgbClr val="000000"/>
                    </a:solidFill>
                    <a:latin typeface="Roboto"/>
                  </a:defRPr>
                </a:pPr>
                <a:r>
                  <a:rPr b="0" sz="1100">
                    <a:solidFill>
                      <a:srgbClr val="000000"/>
                    </a:solidFill>
                    <a:latin typeface="Roboto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9789399"/>
      </c:catAx>
      <c:valAx>
        <c:axId val="15997893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100">
                    <a:solidFill>
                      <a:srgbClr val="000000"/>
                    </a:solidFill>
                    <a:latin typeface="Roboto"/>
                  </a:defRPr>
                </a:pPr>
                <a:r>
                  <a:rPr b="0" sz="1100">
                    <a:solidFill>
                      <a:srgbClr val="000000"/>
                    </a:solidFill>
                    <a:latin typeface="Roboto"/>
                  </a:rPr>
                  <a:t>Total Profit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7037275"/>
      </c:valAx>
    </c:plotArea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1A1B20"/>
                </a:solidFill>
                <a:latin typeface="Montserrat"/>
              </a:defRPr>
            </a:pPr>
            <a:r>
              <a:rPr b="1" sz="1400">
                <a:solidFill>
                  <a:srgbClr val="1A1B20"/>
                </a:solidFill>
                <a:latin typeface="Montserrat"/>
              </a:rPr>
              <a:t>Top 10 Products by Sales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Analytics_Charts!$K$22</c:f>
            </c:strRef>
          </c:tx>
          <c:spPr>
            <a:solidFill>
              <a:srgbClr val="4B5C92"/>
            </a:solidFill>
            <a:ln cmpd="sng">
              <a:noFill/>
            </a:ln>
          </c:spPr>
          <c:invertIfNegative val="0"/>
          <c:cat>
            <c:strRef>
              <c:f>Analytics_Charts!$J$23:$J$34</c:f>
            </c:strRef>
          </c:cat>
          <c:val>
            <c:numRef>
              <c:f>Analytics_Charts!$K$23:$K$34</c:f>
              <c:numCache/>
            </c:numRef>
          </c:val>
        </c:ser>
        <c:axId val="1937044537"/>
        <c:axId val="443210656"/>
      </c:barChart>
      <c:catAx>
        <c:axId val="193704453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Sub-Category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3210656"/>
      </c:catAx>
      <c:valAx>
        <c:axId val="4432106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Sales Amount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7044537"/>
        <c:crosses val="max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</xdr:colOff>
      <xdr:row>9</xdr:row>
      <xdr:rowOff>285750</xdr:rowOff>
    </xdr:from>
    <xdr:ext cx="5314950" cy="1866900"/>
    <xdr:graphicFrame>
      <xdr:nvGraphicFramePr>
        <xdr:cNvPr id="1" name="Chart 1" title="Regional Revenue &amp; Net Profit by Stat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1209675</xdr:colOff>
      <xdr:row>27</xdr:row>
      <xdr:rowOff>0</xdr:rowOff>
    </xdr:from>
    <xdr:ext cx="2790825" cy="1514475"/>
    <xdr:graphicFrame>
      <xdr:nvGraphicFramePr>
        <xdr:cNvPr id="2" name="Chart 2" title="Payment Mode Revenue Contribu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19050</xdr:colOff>
      <xdr:row>27</xdr:row>
      <xdr:rowOff>0</xdr:rowOff>
    </xdr:from>
    <xdr:ext cx="3781425" cy="1514475"/>
    <xdr:graphicFrame>
      <xdr:nvGraphicFramePr>
        <xdr:cNvPr id="5" name="Chart 5" title="Top 10 Products by Sal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15</xdr:row>
      <xdr:rowOff>0</xdr:rowOff>
    </xdr:from>
    <xdr:ext cx="4953000" cy="3286125"/>
    <xdr:graphicFrame>
      <xdr:nvGraphicFramePr>
        <xdr:cNvPr id="3" name="Chart 3" title="Profitability by Sub-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8</xdr:row>
      <xdr:rowOff>0</xdr:rowOff>
    </xdr:from>
    <xdr:ext cx="4953000" cy="1657350"/>
    <xdr:graphicFrame>
      <xdr:nvGraphicFramePr>
        <xdr:cNvPr id="4" name="Chart 4" title="Category Sales Breakdow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1238250</xdr:colOff>
      <xdr:row>29</xdr:row>
      <xdr:rowOff>219075</xdr:rowOff>
    </xdr:from>
    <xdr:ext cx="6362700" cy="3467100"/>
    <xdr:graphicFrame>
      <xdr:nvGraphicFramePr>
        <xdr:cNvPr id="6" name="Chart 6" title="Monthly Sales Tren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133350</xdr:colOff>
      <xdr:row>2</xdr:row>
      <xdr:rowOff>190500</xdr:rowOff>
    </xdr:from>
    <xdr:ext cx="5715000" cy="3533775"/>
    <xdr:graphicFrame>
      <xdr:nvGraphicFramePr>
        <xdr:cNvPr id="7" name="Chart 7" title="Monthly Sales Tren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142875</xdr:colOff>
      <xdr:row>2</xdr:row>
      <xdr:rowOff>190500</xdr:rowOff>
    </xdr:from>
    <xdr:ext cx="5772150" cy="2628900"/>
    <xdr:graphicFrame>
      <xdr:nvGraphicFramePr>
        <xdr:cNvPr id="8" name="Chart 8" title="Profit by Region (State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200025</xdr:colOff>
      <xdr:row>20</xdr:row>
      <xdr:rowOff>180975</xdr:rowOff>
    </xdr:from>
    <xdr:ext cx="5715000" cy="3209925"/>
    <xdr:graphicFrame>
      <xdr:nvGraphicFramePr>
        <xdr:cNvPr id="9" name="Chart 9" title="Top 10 Products by Sal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1195" sheet="KPI calculated columns"/>
  </cacheSource>
  <cacheFields>
    <cacheField name="Order ID" numFmtId="0">
      <sharedItems>
        <s v="B-26776"/>
        <s v="B-26942"/>
        <s v="B-26640"/>
        <s v="B-25890"/>
        <s v="B-25102"/>
        <s v="B-25426"/>
        <s v="B-25238"/>
        <s v="B-25051"/>
        <s v="B-26510"/>
        <s v="B-25104"/>
        <s v="B-25553"/>
        <s v="B-26703"/>
        <s v="B-26232"/>
        <s v="B-25394"/>
        <s v="B-26157"/>
        <s v="B-25555"/>
        <s v="B-26139"/>
        <s v="B-25032"/>
        <s v="B-25730"/>
        <s v="B-26470"/>
        <s v="B-25988"/>
        <s v="B-25568"/>
        <s v="B-26730"/>
        <s v="B-25372"/>
        <s v="B-26026"/>
        <s v="B-25295"/>
        <s v="B-26121"/>
        <s v="B-25560"/>
        <s v="B-26076"/>
        <s v="B-25872"/>
        <s v="B-26185"/>
        <s v="B-26259"/>
        <s v="B-25142"/>
        <s v="B-25326"/>
        <s v="B-26795"/>
        <s v="B-25660"/>
        <s v="B-25410"/>
        <s v="B-25690"/>
        <s v="B-26464"/>
        <s v="B-26454"/>
        <s v="B-26742"/>
        <s v="B-25510"/>
        <s v="B-25936"/>
        <s v="B-25884"/>
        <s v="B-26287"/>
        <s v="B-26564"/>
        <s v="B-26293"/>
        <s v="B-25915"/>
        <s v="B-26496"/>
        <s v="B-25856"/>
        <s v="B-26899"/>
        <s v="B-25916"/>
        <s v="B-26428"/>
        <s v="B-26332"/>
        <s v="B-25303"/>
        <s v="B-26507"/>
        <s v="B-25983"/>
        <s v="B-25156"/>
        <s v="B-26759"/>
        <s v="B-26244"/>
        <s v="B-26365"/>
        <s v="B-26212"/>
        <s v="B-25042"/>
        <s v="B-25901"/>
        <s v="B-26747"/>
        <s v="B-26698"/>
        <s v="B-25841"/>
        <s v="B-26032"/>
        <s v="B-25171"/>
        <s v="B-26939"/>
        <s v="B-26347"/>
        <s v="B-25388"/>
        <s v="B-26419"/>
        <s v="B-25157"/>
        <s v="B-25342"/>
        <s v="B-26165"/>
        <s v="B-26571"/>
        <s v="B-25400"/>
        <s v="B-25885"/>
        <s v="B-25004"/>
        <s v="B-26213"/>
        <s v="B-25025"/>
        <s v="B-26804"/>
        <s v="B-26797"/>
        <s v="B-26556"/>
        <s v="B-25861"/>
        <s v="B-25112"/>
        <s v="B-25223"/>
        <s v="B-25714"/>
        <s v="B-26607"/>
        <s v="B-25038"/>
        <s v="B-26672"/>
        <s v="B-25747"/>
        <s v="B-26322"/>
        <s v="B-26613"/>
        <s v="B-25413"/>
        <s v="B-26466"/>
        <s v="B-26610"/>
        <s v="B-26209"/>
        <s v="B-26622"/>
        <s v="B-26601"/>
        <s v="B-25894"/>
        <s v="B-26969"/>
        <s v="B-26312"/>
        <s v="B-26837"/>
        <s v="B-26166"/>
        <s v="B-25695"/>
        <s v="B-26068"/>
        <s v="B-26023"/>
        <s v="B-26677"/>
        <s v="B-25701"/>
        <s v="B-26523"/>
        <s v="B-25880"/>
        <s v="B-26898"/>
        <s v="B-26035"/>
        <s v="B-25573"/>
        <s v="B-25463"/>
        <s v="B-26277"/>
        <s v="B-26508"/>
        <s v="B-26723"/>
        <s v="B-25526"/>
        <s v="B-25645"/>
        <s v="B-25757"/>
        <s v="B-26716"/>
        <s v="B-25424"/>
        <s v="B-26453"/>
        <s v="B-26425"/>
        <s v="B-25843"/>
        <s v="B-25486"/>
        <s v="B-26975"/>
        <s v="B-26890"/>
        <s v="B-26125"/>
        <s v="B-26489"/>
        <s v="B-26043"/>
        <s v="B-26557"/>
        <s v="B-25243"/>
        <s v="B-26932"/>
        <s v="B-25241"/>
        <s v="B-25044"/>
        <s v="B-26137"/>
        <s v="B-25545"/>
        <s v="B-26800"/>
        <s v="B-26987"/>
        <s v="B-26144"/>
        <s v="B-25406"/>
        <s v="B-25658"/>
        <s v="B-25733"/>
        <s v="B-26993"/>
        <s v="B-26964"/>
        <s v="B-26955"/>
        <s v="B-26059"/>
        <s v="B-26806"/>
        <s v="B-26299"/>
        <s v="B-26743"/>
        <s v="B-26757"/>
        <s v="B-26772"/>
        <s v="B-26088"/>
        <s v="B-26319"/>
        <s v="B-25364"/>
        <s v="B-25655"/>
        <s v="B-26864"/>
        <s v="B-26019"/>
        <s v="B-25849"/>
        <s v="B-25829"/>
        <s v="B-26065"/>
        <s v="B-25267"/>
        <s v="B-25972"/>
        <s v="B-25511"/>
        <s v="B-25744"/>
        <s v="B-26805"/>
        <s v="B-25620"/>
        <s v="B-25325"/>
        <s v="B-25131"/>
        <s v="B-26654"/>
        <s v="B-26195"/>
        <s v="B-25842"/>
        <s v="B-25851"/>
        <s v="B-25427"/>
        <s v="B-26224"/>
        <s v="B-26896"/>
        <s v="B-26469"/>
        <s v="B-26219"/>
        <s v="B-26119"/>
        <s v="B-26988"/>
        <s v="B-25596"/>
        <s v="B-26845"/>
        <s v="B-25099"/>
        <s v="B-26153"/>
        <s v="B-25060"/>
        <s v="B-26572"/>
        <s v="B-25919"/>
        <s v="B-26978"/>
        <s v="B-26554"/>
        <s v="B-26883"/>
        <s v="B-25423"/>
        <s v="B-26324"/>
        <s v="B-26945"/>
        <s v="B-26405"/>
        <s v="B-26046"/>
        <s v="B-25746"/>
        <s v="B-25232"/>
        <s v="B-25591"/>
        <s v="B-26325"/>
        <s v="B-25251"/>
        <s v="B-25464"/>
        <s v="B-26678"/>
        <s v="B-25962"/>
        <s v="B-26586"/>
        <s v="B-26841"/>
        <s v="B-26284"/>
        <s v="B-26478"/>
        <s v="B-26679"/>
        <s v="B-26397"/>
        <s v="B-25957"/>
        <s v="B-26916"/>
        <s v="B-25925"/>
        <s v="B-25602"/>
        <s v="B-26592"/>
        <s v="B-26251"/>
        <s v="B-25979"/>
        <s v="B-25437"/>
        <s v="B-26986"/>
        <s v="B-25990"/>
        <s v="B-25222"/>
        <s v="B-26402"/>
        <s v="B-26792"/>
        <s v="B-25154"/>
        <s v="B-26114"/>
        <s v="B-26485"/>
        <s v="B-26191"/>
        <s v="B-26754"/>
        <s v="B-25953"/>
        <s v="B-26516"/>
        <s v="B-26843"/>
        <s v="B-26167"/>
        <s v="B-26972"/>
        <s v="B-25673"/>
        <s v="B-26587"/>
        <s v="B-26668"/>
        <s v="B-26906"/>
        <s v="B-25226"/>
        <s v="B-25166"/>
        <s v="B-25454"/>
        <s v="B-26215"/>
        <s v="B-25777"/>
        <s v="B-25383"/>
        <s v="B-26409"/>
        <s v="B-26684"/>
        <s v="B-26726"/>
        <s v="B-26136"/>
        <s v="B-26098"/>
        <s v="B-25430"/>
        <s v="B-25266"/>
        <s v="B-25283"/>
        <s v="B-25227"/>
        <s v="B-25669"/>
        <s v="B-25064"/>
        <s v="B-26268"/>
        <s v="B-25456"/>
        <s v="B-25495"/>
        <s v="B-26552"/>
        <s v="B-25203"/>
        <s v="B-25462"/>
        <s v="B-26145"/>
        <s v="B-25552"/>
        <s v="B-26069"/>
        <s v="B-25120"/>
        <s v="B-26146"/>
        <s v="B-25549"/>
        <s v="B-25488"/>
        <s v="B-26885"/>
        <s v="B-25703"/>
        <s v="B-25809"/>
        <s v="B-25477"/>
        <s v="B-26018"/>
        <s v="B-25329"/>
        <s v="B-25182"/>
        <s v="B-25492"/>
        <s v="B-25517"/>
        <s v="B-25200"/>
        <s v="B-26009"/>
        <s v="B-26580"/>
        <s v="B-25679"/>
        <s v="B-26034"/>
        <s v="B-25148"/>
        <s v="B-25830"/>
        <s v="B-25762"/>
        <s v="B-26794"/>
        <s v="B-25011"/>
        <s v="B-25515"/>
        <s v="B-25369"/>
        <s v="B-26222"/>
        <s v="B-25316"/>
        <s v="B-25507"/>
        <s v="B-25846"/>
        <s v="B-25763"/>
        <s v="B-25465"/>
        <s v="B-26352"/>
        <s v="B-26528"/>
        <s v="B-26670"/>
        <s v="B-25331"/>
        <s v="B-25832"/>
        <s v="B-25897"/>
        <s v="B-25713"/>
        <s v="B-25065"/>
        <s v="B-25949"/>
        <s v="B-26033"/>
        <s v="B-26017"/>
        <s v="B-26926"/>
        <s v="B-26258"/>
        <s v="B-26240"/>
        <s v="B-26922"/>
        <s v="B-26894"/>
        <s v="B-25330"/>
        <s v="B-26288"/>
        <s v="B-25228"/>
        <s v="B-26457"/>
        <s v="B-25790"/>
        <s v="B-25868"/>
        <s v="B-25381"/>
        <s v="B-25153"/>
        <s v="B-26576"/>
        <s v="B-26526"/>
        <s v="B-25819"/>
        <s v="B-25698"/>
        <s v="B-26820"/>
        <s v="B-25396"/>
        <s v="B-25529"/>
        <s v="B-26501"/>
        <s v="B-26910"/>
        <s v="B-25978"/>
        <s v="B-26537"/>
        <s v="B-25881"/>
        <s v="B-25237"/>
        <s v="B-26122"/>
        <s v="B-25709"/>
        <s v="B-26656"/>
        <s v="B-25801"/>
        <s v="B-25006"/>
        <s v="B-26106"/>
        <s v="B-25789"/>
        <s v="B-26292"/>
        <s v="B-25895"/>
        <s v="B-25813"/>
        <s v="B-26863"/>
        <s v="B-25759"/>
        <s v="B-26357"/>
        <s v="B-26819"/>
        <s v="B-25502"/>
        <s v="B-25258"/>
        <s v="B-26878"/>
        <s v="B-25170"/>
        <s v="B-26842"/>
        <s v="B-26599"/>
        <s v="B-25705"/>
        <s v="B-26366"/>
        <s v="B-26116"/>
        <s v="B-26443"/>
        <s v="B-25955"/>
        <s v="B-26383"/>
        <s v="B-26999"/>
        <s v="B-26712"/>
        <s v="B-26066"/>
        <s v="B-25996"/>
        <s v="B-26924"/>
        <s v="B-25541"/>
        <s v="B-25196"/>
        <s v="B-25855"/>
        <s v="B-25071"/>
        <s v="B-26159"/>
        <s v="B-26228"/>
        <s v="B-25888"/>
        <s v="B-25574"/>
        <s v="B-26938"/>
        <s v="B-26379"/>
        <s v="B-26623"/>
        <s v="B-25566"/>
        <s v="B-26740"/>
        <s v="B-25024"/>
        <s v="B-26367"/>
        <s v="B-26353"/>
        <s v="B-25742"/>
        <s v="B-26965"/>
        <s v="B-26038"/>
        <s v="B-25317"/>
        <s v="B-25970"/>
        <s v="B-25590"/>
        <s v="B-25580"/>
        <s v="B-25443"/>
        <s v="B-25774"/>
        <s v="B-26505"/>
        <s v="B-25163"/>
        <s v="B-26095"/>
        <s v="B-25768"/>
        <s v="B-25328"/>
        <s v="B-26573"/>
        <s v="B-25138"/>
        <s v="B-26803"/>
        <s v="B-25101"/>
        <s v="B-25827"/>
        <s v="B-25792"/>
        <s v="B-25646"/>
        <s v="B-25043"/>
        <s v="B-26598"/>
        <s v="B-26643"/>
        <s v="B-25992"/>
        <s v="B-25532"/>
        <s v="B-25564"/>
        <s v="B-26543"/>
        <s v="B-25976"/>
        <s v="B-25929"/>
        <s v="B-25497"/>
        <s v="B-26735"/>
        <s v="B-25036"/>
        <s v="B-25971"/>
        <s v="B-25441"/>
        <s v="B-25823"/>
        <s v="B-25363"/>
        <s v="B-26445"/>
        <s v="B-26724"/>
        <s v="B-25447"/>
        <s v="B-26904"/>
        <s v="B-26456"/>
        <s v="B-25435"/>
        <s v="B-26279"/>
        <s v="B-25770"/>
        <s v="B-25715"/>
        <s v="B-26961"/>
        <s v="B-25902"/>
        <s v="B-26321"/>
        <s v="B-25612"/>
        <s v="B-25605"/>
        <s v="B-25810"/>
        <s v="B-25935"/>
        <s v="B-26245"/>
        <s v="B-25346"/>
        <s v="B-25594"/>
        <s v="B-25471"/>
        <s v="B-25398"/>
        <s v="B-25999"/>
        <s v="B-25159"/>
        <s v="B-25496"/>
        <s v="B-25401"/>
        <s v="B-25707"/>
        <s v="B-26225"/>
        <s v="B-25662"/>
        <s v="B-26752"/>
        <s v="B-25640"/>
        <s v="B-25030"/>
        <s v="B-25504"/>
        <s v="B-26912"/>
        <s v="B-25193"/>
        <s v="B-25106"/>
        <s v="B-26835"/>
        <s v="B-25836"/>
        <s v="B-26661"/>
        <s v="B-26317"/>
        <s v="B-26839"/>
        <s v="B-25735"/>
        <s v="B-25387"/>
        <s v="B-25192"/>
        <s v="B-26844"/>
        <s v="B-25236"/>
        <s v="B-25940"/>
        <s v="B-26765"/>
        <s v="B-26817"/>
        <s v="B-26522"/>
        <s v="B-25681"/>
        <s v="B-25382"/>
        <s v="B-25944"/>
        <s v="B-26980"/>
        <s v="B-25780"/>
        <s v="B-25964"/>
        <s v="B-26767"/>
        <s v="B-25501"/>
        <s v="B-26029"/>
        <s v="B-25292"/>
        <s v="B-25873"/>
        <s v="B-25444"/>
        <s v="B-26796"/>
        <s v="B-25537"/>
        <s v="B-26083"/>
        <s v="B-25298"/>
        <s v="B-26734"/>
        <s v="B-25483"/>
        <s v="B-26041"/>
        <s v="B-26750"/>
        <s v="B-26138"/>
        <s v="B-26929"/>
        <s v="B-25359"/>
        <s v="B-25738"/>
        <s v="B-25931"/>
        <s v="B-25706"/>
        <s v="B-25352"/>
        <s v="B-26909"/>
        <s v="B-26296"/>
        <s v="B-26112"/>
        <s v="B-26790"/>
        <s v="B-25986"/>
        <s v="B-25630"/>
        <s v="B-26872"/>
        <s v="B-25870"/>
        <s v="B-25991"/>
        <s v="B-25198"/>
        <s v="B-25189"/>
        <s v="B-26563"/>
        <s v="B-25548"/>
        <s v="B-25965"/>
        <s v="B-26545"/>
        <s v="B-26603"/>
        <s v="B-26393"/>
        <s v="B-26628"/>
        <s v="B-25945"/>
        <s v="B-26565"/>
        <s v="B-25684"/>
        <s v="B-26612"/>
        <s v="B-25839"/>
        <s v="B-25898"/>
        <s v="B-26120"/>
        <s v="B-26426"/>
        <s v="B-26309"/>
        <s v="B-26789"/>
        <s v="B-26420"/>
        <s v="B-26257"/>
        <s v="B-25603"/>
        <s v="B-25010"/>
        <s v="B-25889"/>
        <s v="B-26675"/>
        <s v="B-26168"/>
        <s v="B-25436"/>
        <s v="B-25794"/>
        <s v="B-26495"/>
        <s v="B-25815"/>
        <s v="B-25022"/>
        <s v="B-26928"/>
        <s v="B-25905"/>
        <s v="B-26739"/>
        <s v="B-25697"/>
        <s v="B-25234"/>
        <s v="B-25665"/>
        <s v="B-25028"/>
        <s v="B-26659"/>
        <s v="B-25966"/>
        <s v="B-25350"/>
        <s v="B-26370"/>
        <s v="B-26298"/>
        <s v="B-25068"/>
      </sharedItems>
    </cacheField>
    <cacheField name="Amount" numFmtId="164">
      <sharedItems containsSemiMixedTypes="0" containsString="0" containsNumber="1" containsInteger="1">
        <n v="9726.0"/>
        <n v="4975.0"/>
        <n v="1525.0"/>
        <n v="883.0"/>
        <n v="8127.0"/>
        <n v="2516.0"/>
        <n v="2975.0"/>
        <n v="6851.0"/>
        <n v="7626.0"/>
        <n v="1023.0"/>
        <n v="7600.0"/>
        <n v="7501.0"/>
        <n v="725.0"/>
        <n v="7201.0"/>
        <n v="1629.0"/>
        <n v="8971.0"/>
        <n v="2939.0"/>
        <n v="9380.0"/>
        <n v="8558.0"/>
        <n v="4080.0"/>
        <n v="4206.0"/>
        <n v="5219.0"/>
        <n v="3686.0"/>
        <n v="6045.0"/>
        <n v="9337.0"/>
        <n v="4051.0"/>
        <n v="5011.0"/>
        <n v="3958.0"/>
        <n v="3132.0"/>
        <n v="7784.0"/>
        <n v="5591.0"/>
        <n v="5122.0"/>
        <n v="8293.0"/>
        <n v="2863.0"/>
        <n v="3090.0"/>
        <n v="9683.0"/>
        <n v="2463.0"/>
        <n v="7811.0"/>
        <n v="6139.0"/>
        <n v="8636.0"/>
        <n v="4439.0"/>
        <n v="1016.0"/>
        <n v="5768.0"/>
        <n v="1217.0"/>
        <n v="953.0"/>
        <n v="7355.0"/>
        <n v="1843.0"/>
        <n v="1603.0"/>
        <n v="2025.0"/>
        <n v="6800.0"/>
        <n v="1126.0"/>
        <n v="7533.0"/>
        <n v="4734.0"/>
        <n v="4074.0"/>
        <n v="2334.0"/>
        <n v="2750.0"/>
        <n v="8639.0"/>
        <n v="3808.0"/>
        <n v="2588.0"/>
        <n v="1591.0"/>
        <n v="1757.0"/>
        <n v="6940.0"/>
        <n v="5105.0"/>
        <n v="5578.0"/>
        <n v="5224.0"/>
        <n v="5002.0"/>
        <n v="7380.0"/>
        <n v="7595.0"/>
        <n v="1954.0"/>
        <n v="523.0"/>
        <n v="5704.0"/>
        <n v="8797.0"/>
        <n v="9236.0"/>
        <n v="9109.0"/>
        <n v="4358.0"/>
        <n v="6459.0"/>
        <n v="2478.0"/>
        <n v="9992.0"/>
        <n v="9619.0"/>
        <n v="9538.0"/>
        <n v="9035.0"/>
        <n v="2684.0"/>
        <n v="822.0"/>
        <n v="9730.0"/>
        <n v="2483.0"/>
        <n v="1297.0"/>
        <n v="7909.0"/>
        <n v="9768.0"/>
        <n v="4968.0"/>
        <n v="1731.0"/>
        <n v="3433.0"/>
        <n v="3887.0"/>
        <n v="1801.0"/>
        <n v="5301.0"/>
        <n v="1166.0"/>
        <n v="3196.0"/>
        <n v="3428.0"/>
        <n v="7223.0"/>
        <n v="3731.0"/>
        <n v="8903.0"/>
        <n v="6009.0"/>
        <n v="2858.0"/>
        <n v="8175.0"/>
        <n v="5846.0"/>
        <n v="706.0"/>
        <n v="9835.0"/>
        <n v="9691.0"/>
        <n v="7826.0"/>
        <n v="770.0"/>
        <n v="9895.0"/>
        <n v="6517.0"/>
        <n v="9820.0"/>
        <n v="8563.0"/>
        <n v="4441.0"/>
        <n v="7340.0"/>
        <n v="5442.0"/>
        <n v="1895.0"/>
        <n v="5323.0"/>
        <n v="8850.0"/>
        <n v="8667.0"/>
        <n v="6903.0"/>
        <n v="8793.0"/>
        <n v="9883.0"/>
        <n v="5210.0"/>
        <n v="3574.0"/>
        <n v="576.0"/>
        <n v="1860.0"/>
        <n v="782.0"/>
        <n v="4371.0"/>
        <n v="8346.0"/>
        <n v="6218.0"/>
        <n v="5167.0"/>
        <n v="2799.0"/>
        <n v="3234.0"/>
        <n v="4920.0"/>
        <n v="9078.0"/>
        <n v="8586.0"/>
        <n v="5047.0"/>
        <n v="3657.0"/>
        <n v="6471.0"/>
        <n v="949.0"/>
        <n v="6823.0"/>
        <n v="4364.0"/>
        <n v="6671.0"/>
        <n v="7472.0"/>
        <n v="9548.0"/>
        <n v="7759.0"/>
        <n v="7521.0"/>
        <n v="9704.0"/>
        <n v="4948.0"/>
        <n v="6435.0"/>
        <n v="9965.0"/>
        <n v="1523.0"/>
        <n v="9073.0"/>
        <n v="6447.0"/>
        <n v="8947.0"/>
        <n v="914.0"/>
        <n v="1548.0"/>
        <n v="2759.0"/>
        <n v="1341.0"/>
        <n v="9851.0"/>
        <n v="9989.0"/>
        <n v="7421.0"/>
        <n v="3099.0"/>
        <n v="2521.0"/>
        <n v="6962.0"/>
        <n v="1085.0"/>
        <n v="738.0"/>
        <n v="1366.0"/>
        <n v="1518.0"/>
        <n v="2962.0"/>
        <n v="7131.0"/>
        <n v="4200.0"/>
        <n v="5934.0"/>
        <n v="2701.0"/>
        <n v="7273.0"/>
        <n v="2465.0"/>
        <n v="3479.0"/>
        <n v="5457.0"/>
        <n v="4957.0"/>
        <n v="4404.0"/>
        <n v="8776.0"/>
        <n v="9536.0"/>
        <n v="2225.0"/>
        <n v="9574.0"/>
        <n v="4382.0"/>
        <n v="8200.0"/>
        <n v="9316.0"/>
        <n v="6379.0"/>
        <n v="3348.0"/>
        <n v="8856.0"/>
        <n v="1760.0"/>
        <n v="6351.0"/>
        <n v="869.0"/>
        <n v="1486.0"/>
        <n v="2999.0"/>
        <n v="5142.0"/>
        <n v="1239.0"/>
        <n v="1262.0"/>
        <n v="1033.0"/>
        <n v="8581.0"/>
        <n v="1167.0"/>
        <n v="2841.0"/>
        <n v="5680.0"/>
        <n v="8204.0"/>
        <n v="2850.0"/>
        <n v="907.0"/>
        <n v="2174.0"/>
        <n v="8541.0"/>
        <n v="1931.0"/>
        <n v="1281.0"/>
        <n v="2404.0"/>
        <n v="2119.0"/>
        <n v="3137.0"/>
        <n v="2323.0"/>
        <n v="1368.0"/>
        <n v="9204.0"/>
        <n v="9894.0"/>
        <n v="5322.0"/>
        <n v="2666.0"/>
        <n v="8383.0"/>
        <n v="7560.0"/>
        <n v="1314.0"/>
        <n v="4390.0"/>
        <n v="1150.0"/>
        <n v="1574.0"/>
        <n v="5635.0"/>
        <n v="6515.0"/>
        <n v="1231.0"/>
        <n v="6891.0"/>
        <n v="7524.0"/>
        <n v="6864.0"/>
        <n v="4215.0"/>
        <n v="622.0"/>
        <n v="1755.0"/>
        <n v="8020.0"/>
        <n v="7333.0"/>
        <n v="7690.0"/>
        <n v="912.0"/>
        <n v="2791.0"/>
        <n v="6223.0"/>
        <n v="8943.0"/>
        <n v="3297.0"/>
        <n v="8769.0"/>
        <n v="9057.0"/>
        <n v="9200.0"/>
        <n v="6113.0"/>
        <n v="7733.0"/>
        <n v="8524.0"/>
        <n v="6187.0"/>
        <n v="736.0"/>
        <n v="9905.0"/>
        <n v="2493.0"/>
        <n v="9849.0"/>
        <n v="3423.0"/>
        <n v="3900.0"/>
        <n v="8568.0"/>
        <n v="3283.0"/>
        <n v="7643.0"/>
        <n v="3461.0"/>
        <n v="5714.0"/>
        <n v="3853.0"/>
        <n v="6016.0"/>
        <n v="1290.0"/>
        <n v="4569.0"/>
        <n v="3083.0"/>
        <n v="3522.0"/>
        <n v="7301.0"/>
        <n v="4462.0"/>
        <n v="6212.0"/>
        <n v="4027.0"/>
        <n v="1676.0"/>
        <n v="3927.0"/>
        <n v="2776.0"/>
        <n v="7684.0"/>
        <n v="6008.0"/>
        <n v="7344.0"/>
        <n v="6932.0"/>
        <n v="7748.0"/>
        <n v="6381.0"/>
        <n v="992.0"/>
        <n v="8649.0"/>
        <n v="4099.0"/>
        <n v="2539.0"/>
        <n v="9845.0"/>
        <n v="2901.0"/>
        <n v="6934.0"/>
        <n v="9640.0"/>
        <n v="7930.0"/>
        <n v="4534.0"/>
        <n v="4911.0"/>
        <n v="531.0"/>
        <n v="9707.0"/>
        <n v="8521.0"/>
        <n v="8438.0"/>
        <n v="1689.0"/>
        <n v="3936.0"/>
        <n v="7664.0"/>
        <n v="721.0"/>
        <n v="8364.0"/>
        <n v="5234.0"/>
        <n v="3944.0"/>
        <n v="6711.0"/>
        <n v="5031.0"/>
        <n v="6295.0"/>
        <n v="9654.0"/>
        <n v="3112.0"/>
        <n v="7838.0"/>
        <n v="9300.0"/>
        <n v="1733.0"/>
        <n v="874.0"/>
        <n v="1248.0"/>
        <n v="3669.0"/>
        <n v="514.0"/>
        <n v="3273.0"/>
        <n v="5035.0"/>
        <n v="7702.0"/>
        <n v="9884.0"/>
        <n v="5564.0"/>
        <n v="3953.0"/>
        <n v="6488.0"/>
        <n v="7856.0"/>
        <n v="1165.0"/>
        <n v="9386.0"/>
        <n v="3956.0"/>
        <n v="6449.0"/>
        <n v="6255.0"/>
        <n v="2109.0"/>
        <n v="6707.0"/>
        <n v="7633.0"/>
        <n v="975.0"/>
        <n v="4492.0"/>
        <n v="7957.0"/>
        <n v="4906.0"/>
        <n v="1379.0"/>
        <n v="4244.0"/>
        <n v="5911.0"/>
        <n v="1818.0"/>
        <n v="2140.0"/>
        <n v="2670.0"/>
        <n v="1108.0"/>
        <n v="9776.0"/>
        <n v="535.0"/>
        <n v="7564.0"/>
        <n v="3409.0"/>
        <n v="9751.0"/>
        <n v="6385.0"/>
        <n v="6355.0"/>
        <n v="7377.0"/>
        <n v="2054.0"/>
        <n v="7497.0"/>
        <n v="2565.0"/>
        <n v="5024.0"/>
        <n v="8243.0"/>
        <n v="7792.0"/>
        <n v="2346.0"/>
        <n v="7346.0"/>
        <n v="9770.0"/>
        <n v="7179.0"/>
        <n v="5449.0"/>
        <n v="2895.0"/>
        <n v="697.0"/>
        <n v="6145.0"/>
        <n v="2504.0"/>
        <n v="3124.0"/>
        <n v="4202.0"/>
        <n v="2239.0"/>
        <n v="2450.0"/>
        <n v="9827.0"/>
        <n v="8077.0"/>
        <n v="5152.0"/>
        <n v="2542.0"/>
        <n v="8102.0"/>
        <n v="6200.0"/>
        <n v="4470.0"/>
        <n v="916.0"/>
        <n v="7846.0"/>
        <n v="3022.0"/>
        <n v="5266.0"/>
        <n v="4853.0"/>
        <n v="9832.0"/>
        <n v="796.0"/>
        <n v="4539.0"/>
        <n v="9659.0"/>
        <n v="9562.0"/>
        <n v="4688.0"/>
        <n v="7900.0"/>
        <n v="6967.0"/>
        <n v="1091.0"/>
        <n v="6027.0"/>
        <n v="4852.0"/>
        <n v="4314.0"/>
        <n v="3288.0"/>
        <n v="3977.0"/>
        <n v="6252.0"/>
        <n v="9084.0"/>
        <n v="8994.0"/>
        <n v="1089.0"/>
        <n v="6690.0"/>
        <n v="4985.0"/>
        <n v="8590.0"/>
        <n v="6973.0"/>
        <n v="4591.0"/>
        <n v="9612.0"/>
        <n v="5343.0"/>
        <n v="6956.0"/>
        <n v="5306.0"/>
        <n v="8982.0"/>
        <n v="4826.0"/>
        <n v="972.0"/>
        <n v="3665.0"/>
        <n v="9808.0"/>
        <n v="1133.0"/>
        <n v="6248.0"/>
        <n v="5666.0"/>
        <n v="4171.0"/>
        <n v="6236.0"/>
        <n v="5410.0"/>
        <n v="3024.0"/>
        <n v="7434.0"/>
        <n v="7213.0"/>
        <n v="3176.0"/>
        <n v="9144.0"/>
        <n v="4146.0"/>
        <n v="3793.0"/>
        <n v="7169.0"/>
        <n v="4046.0"/>
        <n v="4164.0"/>
        <n v="5389.0"/>
        <n v="5448.0"/>
        <n v="4115.0"/>
        <n v="4761.0"/>
        <n v="5899.0"/>
        <n v="6109.0"/>
        <n v="4628.0"/>
        <n v="4369.0"/>
        <n v="5632.0"/>
        <n v="7519.0"/>
        <n v="1564.0"/>
        <n v="2804.0"/>
        <n v="2321.0"/>
        <n v="5730.0"/>
        <n v="7441.0"/>
        <n v="1732.0"/>
        <n v="8788.0"/>
        <n v="838.0"/>
        <n v="3577.0"/>
        <n v="7122.0"/>
        <n v="7327.0"/>
        <n v="4932.0"/>
        <n v="4609.0"/>
        <n v="2328.0"/>
        <n v="1388.0"/>
        <n v="8555.0"/>
        <n v="9024.0"/>
        <n v="2468.0"/>
        <n v="9438.0"/>
        <n v="2685.0"/>
        <n v="9916.0"/>
        <n v="6184.0"/>
        <n v="4548.0"/>
        <n v="7195.0"/>
        <n v="3098.0"/>
        <n v="5412.0"/>
        <n v="1397.0"/>
        <n v="9279.0"/>
        <n v="2596.0"/>
        <n v="6732.0"/>
        <n v="4495.0"/>
        <n v="9653.0"/>
        <n v="8945.0"/>
        <n v="4007.0"/>
        <n v="810.0"/>
        <n v="9789.0"/>
        <n v="9229.0"/>
        <n v="8141.0"/>
        <n v="1067.0"/>
        <n v="3839.0"/>
        <n v="2137.0"/>
        <n v="2831.0"/>
        <n v="3913.0"/>
        <n v="4468.0"/>
        <n v="1579.0"/>
        <n v="3760.0"/>
        <n v="8706.0"/>
        <n v="4708.0"/>
        <n v="8089.0"/>
        <n v="5462.0"/>
        <n v="6392.0"/>
        <n v="2349.0"/>
        <n v="8220.0"/>
        <n v="2379.0"/>
        <n v="717.0"/>
        <n v="508.0"/>
        <n v="9382.0"/>
        <n v="4936.0"/>
        <n v="2663.0"/>
        <n v="5151.0"/>
        <n v="2514.0"/>
        <n v="6129.0"/>
        <n v="4395.0"/>
        <n v="5393.0"/>
        <n v="2280.0"/>
        <n v="6596.0"/>
        <n v="4510.0"/>
        <n v="6077.0"/>
        <n v="5379.0"/>
        <n v="4629.0"/>
        <n v="2710.0"/>
        <n v="3224.0"/>
        <n v="8042.0"/>
        <n v="3957.0"/>
        <n v="2957.0"/>
        <n v="5344.0"/>
        <n v="6061.0"/>
        <n v="5376.0"/>
        <n v="2792.0"/>
        <n v="2944.0"/>
        <n v="4220.0"/>
        <n v="8526.0"/>
        <n v="8218.0"/>
        <n v="599.0"/>
        <n v="2727.0"/>
        <n v="2589.0"/>
        <n v="3776.0"/>
        <n v="5402.0"/>
        <n v="5165.0"/>
        <n v="4863.0"/>
        <n v="1626.0"/>
        <n v="8851.0"/>
        <n v="9680.0"/>
        <n v="8468.0"/>
        <n v="6622.0"/>
        <n v="3260.0"/>
        <n v="8709.0"/>
        <n v="5250.0"/>
        <n v="4116.0"/>
        <n v="1109.0"/>
        <n v="3573.0"/>
        <n v="8055.0"/>
        <n v="6829.0"/>
        <n v="6390.0"/>
        <n v="5831.0"/>
        <n v="7952.0"/>
        <n v="3659.0"/>
        <n v="4183.0"/>
        <n v="7478.0"/>
        <n v="702.0"/>
        <n v="4037.0"/>
        <n v="5014.0"/>
        <n v="9879.0"/>
        <n v="8762.0"/>
        <n v="8490.0"/>
        <n v="6951.0"/>
        <n v="1078.0"/>
        <n v="8560.0"/>
        <n v="1031.0"/>
        <n v="6402.0"/>
        <n v="5916.0"/>
        <n v="4015.0"/>
        <n v="9335.0"/>
        <n v="4706.0"/>
        <n v="6584.0"/>
        <n v="6389.0"/>
        <n v="9869.0"/>
        <n v="655.0"/>
        <n v="798.0"/>
        <n v="7967.0"/>
        <n v="3756.0"/>
        <n v="5196.0"/>
        <n v="6586.0"/>
        <n v="6673.0"/>
        <n v="714.0"/>
        <n v="1083.0"/>
        <n v="2401.0"/>
        <n v="1045.0"/>
        <n v="7806.0"/>
        <n v="5263.0"/>
        <n v="6147.0"/>
        <n v="7484.0"/>
        <n v="7700.0"/>
        <n v="8537.0"/>
        <n v="8858.0"/>
        <n v="5313.0"/>
        <n v="3281.0"/>
        <n v="8681.0"/>
        <n v="6195.0"/>
        <n v="3877.0"/>
        <n v="9369.0"/>
        <n v="8680.0"/>
        <n v="3067.0"/>
        <n v="9002.0"/>
        <n v="7105.0"/>
        <n v="5317.0"/>
        <n v="6304.0"/>
        <n v="9565.0"/>
        <n v="8245.0"/>
        <n v="1592.0"/>
        <n v="8400.0"/>
        <n v="4963.0"/>
        <n v="2472.0"/>
        <n v="9132.0"/>
        <n v="8305.0"/>
        <n v="1010.0"/>
        <n v="4544.0"/>
        <n v="5900.0"/>
        <n v="8861.0"/>
        <n v="8158.0"/>
        <n v="3411.0"/>
        <n v="9406.0"/>
        <n v="1156.0"/>
        <n v="5354.0"/>
        <n v="8780.0"/>
        <n v="6783.0"/>
        <n v="1778.0"/>
        <n v="9399.0"/>
        <n v="1638.0"/>
        <n v="1786.0"/>
        <n v="4751.0"/>
        <n v="8979.0"/>
        <n v="1093.0"/>
        <n v="2636.0"/>
        <n v="7306.0"/>
        <n v="5832.0"/>
        <n v="8572.0"/>
        <n v="8059.0"/>
        <n v="3661.0"/>
        <n v="2451.0"/>
        <n v="7067.0"/>
        <n v="4307.0"/>
        <n v="5694.0"/>
        <n v="962.0"/>
        <n v="2995.0"/>
        <n v="2047.0"/>
        <n v="2078.0"/>
        <n v="2737.0"/>
        <n v="8194.0"/>
        <n v="9914.0"/>
        <n v="5470.0"/>
        <n v="1496.0"/>
        <n v="3228.0"/>
        <n v="3918.0"/>
        <n v="9921.0"/>
        <n v="9694.0"/>
        <n v="5028.0"/>
        <n v="594.0"/>
        <n v="5954.0"/>
        <n v="3518.0"/>
        <n v="4157.0"/>
        <n v="3747.0"/>
        <n v="3194.0"/>
        <n v="8548.0"/>
        <n v="6089.0"/>
        <n v="2586.0"/>
        <n v="3757.0"/>
        <n v="5193.0"/>
        <n v="7493.0"/>
        <n v="2062.0"/>
        <n v="7163.0"/>
        <n v="4026.0"/>
        <n v="1894.0"/>
        <n v="7144.0"/>
        <n v="3482.0"/>
        <n v="4172.0"/>
        <n v="6265.0"/>
        <n v="2931.0"/>
        <n v="1146.0"/>
        <n v="9215.0"/>
        <n v="7895.0"/>
        <n v="2740.0"/>
        <n v="5338.0"/>
        <n v="3095.0"/>
        <n v="6017.0"/>
        <n v="4904.0"/>
        <n v="3080.0"/>
        <n v="1992.0"/>
        <n v="5346.0"/>
        <n v="8422.0"/>
        <n v="6105.0"/>
        <n v="670.0"/>
        <n v="4057.0"/>
        <n v="8178.0"/>
        <n v="8752.0"/>
        <n v="8974.0"/>
        <n v="9090.0"/>
        <n v="851.0"/>
        <n v="5427.0"/>
        <n v="2695.0"/>
        <n v="2386.0"/>
        <n v="2284.0"/>
        <n v="6034.0"/>
        <n v="8956.0"/>
        <n v="9775.0"/>
        <n v="3309.0"/>
        <n v="4163.0"/>
        <n v="5518.0"/>
        <n v="7566.0"/>
        <n v="762.0"/>
        <n v="3316.0"/>
        <n v="5994.0"/>
        <n v="3854.0"/>
        <n v="7019.0"/>
        <n v="9752.0"/>
        <n v="5335.0"/>
        <n v="1454.0"/>
        <n v="6724.0"/>
        <n v="9874.0"/>
        <n v="4918.0"/>
        <n v="3189.0"/>
        <n v="6669.0"/>
        <n v="6123.0"/>
        <n v="3265.0"/>
        <n v="8104.0"/>
        <n v="847.0"/>
        <n v="3129.0"/>
        <n v="7821.0"/>
        <n v="9498.0"/>
        <n v="5461.0"/>
        <n v="3084.0"/>
        <n v="6087.0"/>
        <n v="611.0"/>
        <n v="9909.0"/>
        <n v="6485.0"/>
        <n v="7259.0"/>
        <n v="3333.0"/>
        <n v="7786.0"/>
        <n v="7644.0"/>
        <n v="1476.0"/>
        <n v="3445.0"/>
        <n v="9837.0"/>
        <n v="5951.0"/>
        <n v="4699.0"/>
        <n v="5557.0"/>
        <n v="3436.0"/>
        <n v="9840.0"/>
        <n v="7620.0"/>
        <n v="544.0"/>
        <n v="537.0"/>
        <n v="5944.0"/>
        <n v="2258.0"/>
        <n v="9609.0"/>
        <n v="9952.0"/>
        <n v="9873.0"/>
        <n v="3560.0"/>
        <n v="6528.0"/>
        <n v="8930.0"/>
        <n v="4521.0"/>
        <n v="7091.0"/>
        <n v="2101.0"/>
        <n v="8644.0"/>
        <n v="6672.0"/>
        <n v="4897.0"/>
        <n v="5460.0"/>
        <n v="9272.0"/>
        <n v="7870.0"/>
        <n v="7992.0"/>
        <n v="6499.0"/>
        <n v="8848.0"/>
        <n v="8044.0"/>
        <n v="7417.0"/>
        <n v="3451.0"/>
        <n v="8531.0"/>
        <n v="6646.0"/>
        <n v="2553.0"/>
        <n v="2689.0"/>
        <n v="815.0"/>
        <n v="8962.0"/>
        <n v="1961.0"/>
        <n v="526.0"/>
        <n v="6093.0"/>
        <n v="7699.0"/>
        <n v="8825.0"/>
        <n v="2082.0"/>
      </sharedItems>
    </cacheField>
    <cacheField name="Profit" numFmtId="164">
      <sharedItems containsSemiMixedTypes="0" containsString="0" containsNumber="1" containsInteger="1">
        <n v="1275.0"/>
        <n v="1330.0"/>
        <n v="185.0"/>
        <n v="117.0"/>
        <n v="3551.0"/>
        <n v="734.0"/>
        <n v="462.0"/>
        <n v="2812.0"/>
        <n v="1046.0"/>
        <n v="78.0"/>
        <n v="1098.0"/>
        <n v="262.0"/>
        <n v="133.0"/>
        <n v="2685.0"/>
        <n v="265.0"/>
        <n v="2971.0"/>
        <n v="894.0"/>
        <n v="414.0"/>
        <n v="1644.0"/>
        <n v="72.0"/>
        <n v="1821.0"/>
        <n v="1180.0"/>
        <n v="760.0"/>
        <n v="1606.0"/>
        <n v="554.0"/>
        <n v="1848.0"/>
        <n v="866.0"/>
        <n v="630.0"/>
        <n v="963.0"/>
        <n v="2937.0"/>
        <n v="1696.0"/>
        <n v="2413.0"/>
        <n v="2632.0"/>
        <n v="205.0"/>
        <n v="573.0"/>
        <n v="1014.0"/>
        <n v="648.0"/>
        <n v="1538.0"/>
        <n v="451.0"/>
        <n v="3192.0"/>
        <n v="1712.0"/>
        <n v="172.0"/>
        <n v="2059.0"/>
        <n v="151.0"/>
        <n v="93.0"/>
        <n v="1034.0"/>
        <n v="248.0"/>
        <n v="361.0"/>
        <n v="528.0"/>
        <n v="167.0"/>
        <n v="55.0"/>
        <n v="3508.0"/>
        <n v="1178.0"/>
        <n v="1175.0"/>
        <n v="484.0"/>
        <n v="1239.0"/>
        <n v="3104.0"/>
        <n v="1192.0"/>
        <n v="705.0"/>
        <n v="727.0"/>
        <n v="622.0"/>
        <n v="253.0"/>
        <n v="465.0"/>
        <n v="277.0"/>
        <n v="1958.0"/>
        <n v="1801.0"/>
        <n v="1673.0"/>
        <n v="2873.0"/>
        <n v="294.0"/>
        <n v="95.0"/>
        <n v="714.0"/>
        <n v="1010.0"/>
        <n v="2899.0"/>
        <n v="586.0"/>
        <n v="526.0"/>
        <n v="825.0"/>
        <n v="92.0"/>
        <n v="3696.0"/>
        <n v="3420.0"/>
        <n v="3158.0"/>
        <n v="1227.0"/>
        <n v="670.0"/>
        <n v="147.0"/>
        <n v="2341.0"/>
        <n v="236.0"/>
        <n v="600.0"/>
        <n v="1942.0"/>
        <n v="4518.0"/>
        <n v="934.0"/>
        <n v="149.0"/>
        <n v="1169.0"/>
        <n v="1490.0"/>
        <n v="641.0"/>
        <n v="817.0"/>
        <n v="520.0"/>
        <n v="1411.0"/>
        <n v="350.0"/>
        <n v="2433.0"/>
        <n v="647.0"/>
        <n v="4401.0"/>
        <n v="2107.0"/>
        <n v="230.0"/>
        <n v="525.0"/>
        <n v="197.0"/>
        <n v="2571.0"/>
        <n v="3056.0"/>
        <n v="1221.0"/>
        <n v="241.0"/>
        <n v="1598.0"/>
        <n v="1581.0"/>
        <n v="349.0"/>
        <n v="793.0"/>
        <n v="2624.0"/>
        <n v="281.0"/>
        <n v="2271.0"/>
        <n v="1610.0"/>
        <n v="391.0"/>
        <n v="322.0"/>
        <n v="279.0"/>
        <n v="1266.0"/>
        <n v="105.0"/>
        <n v="3010.0"/>
        <n v="4812.0"/>
        <n v="1185.0"/>
        <n v="851.0"/>
        <n v="76.0"/>
        <n v="457.0"/>
        <n v="374.0"/>
        <n v="1852.0"/>
        <n v="1176.0"/>
        <n v="1125.0"/>
        <n v="1029.0"/>
        <n v="775.0"/>
        <n v="2213.0"/>
        <n v="3826.0"/>
        <n v="2211.0"/>
        <n v="163.0"/>
        <n v="2842.0"/>
        <n v="301.0"/>
        <n v="771.0"/>
        <n v="831.0"/>
        <n v="2797.0"/>
        <n v="1037.0"/>
        <n v="1806.0"/>
        <n v="3741.0"/>
        <n v="3457.0"/>
        <n v="4339.0"/>
        <n v="2356.0"/>
        <n v="334.0"/>
        <n v="3033.0"/>
        <n v="234.0"/>
        <n v="424.0"/>
        <n v="3079.0"/>
        <n v="2807.0"/>
        <n v="400.0"/>
        <n v="666.0"/>
        <n v="1149.0"/>
        <n v="615.0"/>
        <n v="2669.0"/>
        <n v="3930.0"/>
        <n v="958.0"/>
        <n v="479.0"/>
        <n v="906.0"/>
        <n v="3429.0"/>
        <n v="342.0"/>
        <n v="242.0"/>
        <n v="155.0"/>
        <n v="1470.0"/>
        <n v="718.0"/>
        <n v="855.0"/>
        <n v="1563.0"/>
        <n v="2702.0"/>
        <n v="699.0"/>
        <n v="1087.0"/>
        <n v="1765.0"/>
        <n v="1152.0"/>
        <n v="858.0"/>
        <n v="2529.0"/>
        <n v="1437.0"/>
        <n v="589.0"/>
        <n v="4045.0"/>
        <n v="482.0"/>
        <n v="257.0"/>
        <n v="3003.0"/>
        <n v="3128.0"/>
        <n v="568.0"/>
        <n v="2020.0"/>
        <n v="619.0"/>
        <n v="986.0"/>
        <n v="373.0"/>
        <n v="114.0"/>
        <n v="145.0"/>
        <n v="1916.0"/>
        <n v="575.0"/>
        <n v="515.0"/>
        <n v="254.0"/>
        <n v="159.0"/>
        <n v="2444.0"/>
        <n v="463.0"/>
        <n v="803.0"/>
        <n v="2159.0"/>
        <n v="2382.0"/>
        <n v="904.0"/>
        <n v="2029.0"/>
        <n v="551.0"/>
        <n v="340.0"/>
        <n v="196.0"/>
        <n v="571.0"/>
        <n v="406.0"/>
        <n v="3289.0"/>
        <n v="3698.0"/>
        <n v="1423.0"/>
        <n v="559.0"/>
        <n v="937.0"/>
        <n v="821.0"/>
        <n v="490.0"/>
        <n v="179.0"/>
        <n v="58.0"/>
        <n v="258.0"/>
        <n v="318.0"/>
        <n v="961.0"/>
        <n v="214.0"/>
        <n v="2308.0"/>
        <n v="1824.0"/>
        <n v="432.0"/>
        <n v="218.0"/>
        <n v="495.0"/>
        <n v="3898.0"/>
        <n v="1576.0"/>
        <n v="1134.0"/>
        <n v="246.0"/>
        <n v="1478.0"/>
        <n v="3121.0"/>
        <n v="102.0"/>
        <n v="1989.0"/>
        <n v="1888.0"/>
        <n v="3275.0"/>
        <n v="809.0"/>
        <n v="2508.0"/>
        <n v="2784.0"/>
        <n v="154.0"/>
        <n v="2344.0"/>
        <n v="148.0"/>
        <n v="286.0"/>
        <n v="633.0"/>
        <n v="804.0"/>
        <n v="115.0"/>
        <n v="2419.0"/>
        <n v="71.0"/>
        <n v="3720.0"/>
        <n v="1537.0"/>
        <n v="1438.0"/>
        <n v="1457.0"/>
        <n v="431.0"/>
        <n v="204.0"/>
        <n v="1693.0"/>
        <n v="1151.0"/>
        <n v="898.0"/>
        <n v="3602.0"/>
        <n v="121.0"/>
        <n v="1881.0"/>
        <n v="1386.0"/>
        <n v="330.0"/>
        <n v="1133.0"/>
        <n v="887.0"/>
        <n v="1157.0"/>
        <n v="2498.0"/>
        <n v="2598.0"/>
        <n v="3218.0"/>
        <n v="1706.0"/>
        <n v="2763.0"/>
        <n v="64.0"/>
        <n v="2631.0"/>
        <n v="52.0"/>
        <n v="324.0"/>
        <n v="3062.0"/>
        <n v="2606.0"/>
        <n v="1981.0"/>
        <n v="829.0"/>
        <n v="2235.0"/>
        <n v="186.0"/>
        <n v="189.0"/>
        <n v="3483.0"/>
        <n v="2584.0"/>
        <n v="3427.0"/>
        <n v="109.0"/>
        <n v="1626.0"/>
        <n v="1753.0"/>
        <n v="3055.0"/>
        <n v="2021.0"/>
        <n v="1559.0"/>
        <n v="1045.0"/>
        <n v="2469.0"/>
        <n v="4111.0"/>
        <n v="1065.0"/>
        <n v="1142.0"/>
        <n v="3146.0"/>
        <n v="235.0"/>
        <n v="584.0"/>
        <n v="85.0"/>
        <n v="2008.0"/>
        <n v="60.0"/>
        <n v="4446.0"/>
        <n v="175.0"/>
        <n v="1776.0"/>
        <n v="1591.0"/>
        <n v="3699.0"/>
        <n v="51.0"/>
        <n v="2555.0"/>
        <n v="142.0"/>
        <n v="2628.0"/>
        <n v="437.0"/>
        <n v="681.0"/>
        <n v="1041.0"/>
        <n v="184.0"/>
        <n v="224.0"/>
        <n v="1450.0"/>
        <n v="2834.0"/>
        <n v="975.0"/>
        <n v="250.0"/>
        <n v="2333.0"/>
        <n v="738.0"/>
        <n v="970.0"/>
        <n v="1026.0"/>
        <n v="3750.0"/>
        <n v="3463.0"/>
        <n v="1605.0"/>
        <n v="2459.0"/>
        <n v="2656.0"/>
        <n v="1335.0"/>
        <n v="320.0"/>
        <n v="371.0"/>
        <n v="319.0"/>
        <n v="983.0"/>
        <n v="1544.0"/>
        <n v="1346.0"/>
        <n v="1403.0"/>
        <n v="388.0"/>
        <n v="1043.0"/>
        <n v="4132.0"/>
        <n v="683.0"/>
        <n v="2389.0"/>
        <n v="104.0"/>
        <n v="116.0"/>
        <n v="1414.0"/>
        <n v="440.0"/>
        <n v="138.0"/>
        <n v="1226.0"/>
        <n v="1171.0"/>
        <n v="828.0"/>
        <n v="1002.0"/>
        <n v="4208.0"/>
        <n v="240.0"/>
        <n v="2045.0"/>
        <n v="190.0"/>
        <n v="1800.0"/>
        <n v="1274.0"/>
        <n v="2321.0"/>
        <n v="413.0"/>
        <n v="362.0"/>
        <n v="302.0"/>
        <n v="677.0"/>
        <n v="384.0"/>
        <n v="1111.0"/>
        <n v="1764.0"/>
        <n v="1270.0"/>
        <n v="153.0"/>
        <n v="127.0"/>
        <n v="1155.0"/>
        <n v="2226.0"/>
        <n v="325.0"/>
        <n v="1841.0"/>
        <n v="3257.0"/>
        <n v="1530.0"/>
        <n v="1453.0"/>
        <n v="1477.0"/>
        <n v="813.0"/>
        <n v="1377.0"/>
        <n v="3253.0"/>
        <n v="1481.0"/>
        <n v="176.0"/>
        <n v="1001.0"/>
        <n v="1920.0"/>
        <n v="3565.0"/>
        <n v="3038.0"/>
        <n v="1941.0"/>
        <n v="2572.0"/>
        <n v="655.0"/>
        <n v="2405.0"/>
        <n v="448.0"/>
        <n v="562.0"/>
        <n v="106.0"/>
        <n v="802.0"/>
        <n v="2117.0"/>
        <n v="73.0"/>
        <n v="1168.0"/>
        <n v="2733.0"/>
        <n v="2839.0"/>
        <n v="2456.0"/>
        <n v="1353.0"/>
        <n v="2851.0"/>
        <n v="508.0"/>
        <n v="2220.0"/>
        <n v="865.0"/>
        <n v="875.0"/>
        <n v="2385.0"/>
        <n v="417.0"/>
        <n v="905.0"/>
        <n v="2196.0"/>
        <n v="2204.0"/>
        <n v="1285.0"/>
        <n v="2231.0"/>
        <n v="2264.0"/>
        <n v="3040.0"/>
        <n v="1491.0"/>
        <n v="2358.0"/>
        <n v="402.0"/>
        <n v="674.0"/>
        <n v="936.0"/>
        <n v="505.0"/>
        <n v="867.0"/>
        <n v="766.0"/>
        <n v="3944.0"/>
        <n v="271.0"/>
        <n v="1836.0"/>
        <n v="2596.0"/>
        <n v="1094.0"/>
        <n v="1153.0"/>
        <n v="1084.0"/>
        <n v="788.0"/>
        <n v="345.0"/>
        <n v="1638.0"/>
        <n v="730.0"/>
        <n v="418.0"/>
        <n v="379.0"/>
        <n v="4602.0"/>
        <n v="50.0"/>
        <n v="2135.0"/>
        <n v="1665.0"/>
        <n v="957.0"/>
        <n v="686.0"/>
        <n v="552.0"/>
        <n v="1003.0"/>
        <n v="911.0"/>
        <n v="1408.0"/>
        <n v="2471.0"/>
        <n v="1728.0"/>
        <n v="201.0"/>
        <n v="231.0"/>
        <n v="2071.0"/>
        <n v="4090.0"/>
        <n v="3968.0"/>
        <n v="251.0"/>
        <n v="1415.0"/>
        <n v="638.0"/>
        <n v="1289.0"/>
        <n v="1940.0"/>
        <n v="602.0"/>
        <n v="1849.0"/>
        <n v="3099.0"/>
        <n v="696.0"/>
        <n v="3132.0"/>
        <n v="673.0"/>
        <n v="444.0"/>
        <n v="1724.0"/>
        <n v="3882.0"/>
        <n v="2049.0"/>
        <n v="158.0"/>
        <n v="177.0"/>
        <n v="1085.0"/>
        <n v="576.0"/>
        <n v="1680.0"/>
        <n v="2976.0"/>
        <n v="1663.0"/>
        <n v="2642.0"/>
        <n v="509.0"/>
        <n v="1439.0"/>
        <n v="1896.0"/>
        <n v="2378.0"/>
        <n v="2510.0"/>
        <n v="1660.0"/>
        <n v="555.0"/>
        <n v="1018.0"/>
        <n v="3178.0"/>
        <n v="917.0"/>
        <n v="2607.0"/>
        <n v="2121.0"/>
        <n v="1928.0"/>
        <n v="1008.0"/>
        <n v="249.0"/>
        <n v="945.0"/>
        <n v="1704.0"/>
        <n v="1430.0"/>
        <n v="543.0"/>
        <n v="605.0"/>
        <n v="1100.0"/>
        <n v="1666.0"/>
        <n v="885.0"/>
        <n v="2394.0"/>
        <n v="3962.0"/>
        <n v="3295.0"/>
        <n v="3666.0"/>
        <n v="314.0"/>
        <n v="2673.0"/>
        <n v="207.0"/>
        <n v="2322.0"/>
        <n v="187.0"/>
        <n v="921.0"/>
        <n v="661.0"/>
        <n v="2609.0"/>
        <n v="3089.0"/>
        <n v="1574.0"/>
        <n v="3865.0"/>
        <n v="1159.0"/>
        <n v="1381.0"/>
        <n v="238.0"/>
        <n v="1494.0"/>
        <n v="2332.0"/>
        <n v="4930.0"/>
        <n v="3502.0"/>
        <n v="800.0"/>
        <n v="164.0"/>
        <n v="309.0"/>
        <n v="2166.0"/>
        <n v="2770.0"/>
        <n v="1594.0"/>
        <n v="1751.0"/>
        <n v="557.0"/>
        <n v="594.0"/>
        <n v="4299.0"/>
        <n v="297.0"/>
        <n v="308.0"/>
        <n v="2504.0"/>
        <n v="1318.0"/>
        <n v="2477.0"/>
        <n v="1794.0"/>
        <n v="950.0"/>
        <n v="232.0"/>
        <n v="501.0"/>
        <n v="1163.0"/>
        <n v="267.0"/>
        <n v="1127.0"/>
        <n v="1743.0"/>
        <n v="2526.0"/>
        <n v="2871.0"/>
        <n v="2712.0"/>
        <n v="3586.0"/>
        <n v="3394.0"/>
        <n v="2037.0"/>
        <n v="471.0"/>
        <n v="2458.0"/>
        <n v="1556.0"/>
        <n v="481.0"/>
        <n v="3297.0"/>
        <n v="4068.0"/>
        <n v="1475.0"/>
        <n v="4197.0"/>
        <n v="2782.0"/>
        <n v="1345.0"/>
        <n v="1691.0"/>
        <n v="480.0"/>
        <n v="1254.0"/>
        <n v="211.0"/>
        <n v="3096.0"/>
        <n v="1577.0"/>
        <n v="1726.0"/>
        <n v="1738.0"/>
        <n v="3381.0"/>
        <n v="2052.0"/>
        <n v="1137.0"/>
        <n v="74.0"/>
        <n v="743.0"/>
        <n v="3430.0"/>
        <n v="3306.0"/>
        <n v="285.0"/>
        <n v="1949.0"/>
        <n v="965.0"/>
        <n v="781.0"/>
        <n v="4477.0"/>
        <n v="663.0"/>
        <n v="397.0"/>
        <n v="88.0"/>
        <n v="2251.0"/>
        <n v="1547.0"/>
        <n v="2588.0"/>
        <n v="2041.0"/>
        <n v="1834.0"/>
        <n v="436.0"/>
        <n v="1943.0"/>
        <n v="298.0"/>
        <n v="220.0"/>
        <n v="914.0"/>
        <n v="612.0"/>
        <n v="1253.0"/>
        <n v="2881.0"/>
        <n v="3858.0"/>
        <n v="292.0"/>
        <n v="662.0"/>
        <n v="476.0"/>
        <n v="749.0"/>
        <n v="1451.0"/>
        <n v="4361.0"/>
        <n v="1553.0"/>
        <n v="67.0"/>
        <n v="2618.0"/>
        <n v="1051.0"/>
        <n v="1874.0"/>
        <n v="410.0"/>
        <n v="534.0"/>
        <n v="2305.0"/>
        <n v="139.0"/>
        <n v="2530.0"/>
        <n v="96.0"/>
        <n v="848.0"/>
        <n v="1536.0"/>
        <n v="275.0"/>
        <n v="192.0"/>
        <n v="1554.0"/>
        <n v="212.0"/>
        <n v="188.0"/>
        <n v="767.0"/>
        <n v="1005.0"/>
        <n v="558.0"/>
        <n v="1354.0"/>
        <n v="941.0"/>
        <n v="2230.0"/>
        <n v="469.0"/>
        <n v="737.0"/>
        <n v="355.0"/>
        <n v="1246.0"/>
        <n v="893.0"/>
        <n v="1447.0"/>
        <n v="1012.0"/>
        <n v="2462.0"/>
        <n v="1686.0"/>
        <n v="4441.0"/>
        <n v="3098.0"/>
        <n v="356.0"/>
        <n v="728.0"/>
        <n v="999.0"/>
        <n v="608.0"/>
        <n v="3359.0"/>
        <n v="1982.0"/>
        <n v="4507.0"/>
        <n v="897.0"/>
        <n v="606.0"/>
        <n v="126.0"/>
        <n v="2826.0"/>
        <n v="245.0"/>
        <n v="2677.0"/>
        <n v="2640.0"/>
        <n v="3618.0"/>
        <n v="80.0"/>
        <n v="1539.0"/>
        <n v="3895.0"/>
        <n v="1485.0"/>
        <n v="713.0"/>
        <n v="229.0"/>
        <n v="3063.0"/>
        <n v="1390.0"/>
        <n v="1039.0"/>
        <n v="3821.0"/>
        <n v="256.0"/>
        <n v="1214.0"/>
        <n v="611.0"/>
        <n v="3043.0"/>
        <n v="300.0"/>
        <n v="2999.0"/>
        <n v="1969.0"/>
        <n v="700.0"/>
        <n v="1202.0"/>
        <n v="2428.0"/>
        <n v="247.0"/>
        <n v="1405.0"/>
        <n v="625.0"/>
        <n v="2114.0"/>
        <n v="933.0"/>
        <n v="3870.0"/>
        <n v="125.0"/>
        <n v="272.0"/>
        <n v="2661.0"/>
        <n v="135.0"/>
        <n v="3301.0"/>
        <n v="4585.0"/>
        <n v="3374.0"/>
        <n v="1778.0"/>
        <n v="2317.0"/>
        <n v="287.0"/>
        <n v="1968.0"/>
        <n v="3319.0"/>
        <n v="103.0"/>
        <n v="2088.0"/>
        <n v="1771.0"/>
        <n v="1057.0"/>
        <n v="2189.0"/>
        <n v="2090.0"/>
        <n v="3634.0"/>
        <n v="1334.0"/>
        <n v="658.0"/>
        <n v="907.0"/>
        <n v="3485.0"/>
        <n v="54.0"/>
        <n v="59.0"/>
        <n v="83.0"/>
        <n v="3042.0"/>
        <n v="3594.0"/>
        <n v="642.0"/>
      </sharedItems>
    </cacheField>
    <cacheField name="Quantity" numFmtId="3">
      <sharedItems containsSemiMixedTypes="0" containsString="0" containsNumber="1" containsInteger="1">
        <n v="5.0"/>
        <n v="14.0"/>
        <n v="12.0"/>
        <n v="10.0"/>
        <n v="16.0"/>
        <n v="19.0"/>
        <n v="1.0"/>
        <n v="15.0"/>
        <n v="9.0"/>
        <n v="18.0"/>
        <n v="6.0"/>
        <n v="2.0"/>
        <n v="20.0"/>
        <n v="11.0"/>
        <n v="17.0"/>
        <n v="4.0"/>
        <n v="3.0"/>
        <n v="8.0"/>
        <n v="7.0"/>
        <n v="13.0"/>
      </sharedItems>
    </cacheField>
    <cacheField name="Category" numFmtId="0">
      <sharedItems>
        <s v="Electronics"/>
        <s v="Office Supplies"/>
        <s v="Furniture"/>
      </sharedItems>
    </cacheField>
    <cacheField name="Sub-Category" numFmtId="0">
      <sharedItems>
        <s v="Electronic Games"/>
        <s v="Printers"/>
        <s v="Pens"/>
        <s v="Laptops"/>
        <s v="Tables"/>
        <s v="Chairs"/>
        <s v="Markers"/>
        <s v="Sofas"/>
        <s v="Paper"/>
        <s v="Binders"/>
        <s v="Phones"/>
        <s v="Bookcases"/>
      </sharedItems>
    </cacheField>
    <cacheField name="PaymentMode" numFmtId="0">
      <sharedItems>
        <s v="Upi"/>
        <s v="Debit Card"/>
        <s v="Emi"/>
        <s v="Credit Card"/>
        <s v="Cod"/>
      </sharedItems>
    </cacheField>
    <cacheField name="Order Date" numFmtId="165">
      <sharedItems containsSemiMixedTypes="0" containsDate="1" containsString="0">
        <d v="2023-06-27T00:00:00Z"/>
        <d v="2024-12-27T00:00:00Z"/>
        <d v="2021-07-25T00:00:00Z"/>
        <d v="2024-05-11T00:00:00Z"/>
        <d v="2021-10-09T00:00:00Z"/>
        <d v="2022-11-18T00:00:00Z"/>
        <d v="2023-11-12T00:00:00Z"/>
        <d v="2020-03-23T00:00:00Z"/>
        <d v="2020-05-04T00:00:00Z"/>
        <d v="2023-11-09T00:00:00Z"/>
        <d v="2024-12-30T00:00:00Z"/>
        <d v="2025-02-11T00:00:00Z"/>
        <d v="2024-01-23T00:00:00Z"/>
        <d v="2020-11-28T00:00:00Z"/>
        <d v="2024-05-30T00:00:00Z"/>
        <d v="2022-01-23T00:00:00Z"/>
        <d v="2021-12-17T00:00:00Z"/>
        <d v="2023-02-03T00:00:00Z"/>
        <d v="2022-10-30T00:00:00Z"/>
        <d v="2022-01-15T00:00:00Z"/>
        <d v="2023-12-14T00:00:00Z"/>
        <d v="2023-07-03T00:00:00Z"/>
        <d v="2021-05-08T00:00:00Z"/>
        <d v="2022-10-07T00:00:00Z"/>
        <d v="2024-08-06T00:00:00Z"/>
        <d v="2022-01-05T00:00:00Z"/>
        <d v="2020-10-17T00:00:00Z"/>
        <d v="2023-08-21T00:00:00Z"/>
        <d v="2021-06-18T00:00:00Z"/>
        <d v="2023-05-27T00:00:00Z"/>
        <d v="2021-10-12T00:00:00Z"/>
        <d v="2022-09-19T00:00:00Z"/>
        <d v="2022-03-25T00:00:00Z"/>
        <d v="2022-02-26T00:00:00Z"/>
        <d v="2021-04-05T00:00:00Z"/>
        <d v="2020-11-16T00:00:00Z"/>
        <d v="2024-12-12T00:00:00Z"/>
        <d v="2023-04-06T00:00:00Z"/>
        <d v="2024-01-28T00:00:00Z"/>
        <d v="2022-01-16T00:00:00Z"/>
        <d v="2022-12-16T00:00:00Z"/>
        <d v="2023-07-13T00:00:00Z"/>
        <d v="2025-03-10T00:00:00Z"/>
        <d v="2024-09-24T00:00:00Z"/>
        <d v="2020-04-13T00:00:00Z"/>
        <d v="2022-06-27T00:00:00Z"/>
        <d v="2021-03-14T00:00:00Z"/>
        <d v="2022-02-23T00:00:00Z"/>
        <d v="2022-03-29T00:00:00Z"/>
        <d v="2022-11-20T00:00:00Z"/>
        <d v="2021-11-12T00:00:00Z"/>
        <d v="2021-08-17T00:00:00Z"/>
        <d v="2022-05-16T00:00:00Z"/>
        <d v="2023-07-16T00:00:00Z"/>
        <d v="2020-08-18T00:00:00Z"/>
        <d v="2022-04-19T00:00:00Z"/>
        <d v="2022-12-23T00:00:00Z"/>
        <d v="2024-12-07T00:00:00Z"/>
        <d v="2022-02-03T00:00:00Z"/>
        <d v="2021-12-12T00:00:00Z"/>
        <d v="2020-05-17T00:00:00Z"/>
        <d v="2022-12-05T00:00:00Z"/>
        <d v="2024-09-17T00:00:00Z"/>
        <d v="2023-05-08T00:00:00Z"/>
        <d v="2021-03-03T00:00:00Z"/>
        <d v="2021-03-18T00:00:00Z"/>
        <d v="2023-04-24T00:00:00Z"/>
        <d v="2022-04-15T00:00:00Z"/>
        <d v="2022-08-29T00:00:00Z"/>
        <d v="2024-09-04T00:00:00Z"/>
        <d v="2021-05-18T00:00:00Z"/>
        <d v="2024-07-02T00:00:00Z"/>
        <d v="2024-02-16T00:00:00Z"/>
        <d v="2021-11-26T00:00:00Z"/>
        <d v="2024-02-01T00:00:00Z"/>
        <d v="2021-09-09T00:00:00Z"/>
        <d v="2021-09-08T00:00:00Z"/>
        <d v="2024-07-09T00:00:00Z"/>
        <d v="2023-02-28T00:00:00Z"/>
        <d v="2022-08-08T00:00:00Z"/>
        <d v="2022-12-07T00:00:00Z"/>
        <d v="2024-04-29T00:00:00Z"/>
        <d v="2022-01-02T00:00:00Z"/>
        <d v="2022-06-10T00:00:00Z"/>
        <d v="2021-11-16T00:00:00Z"/>
        <d v="2022-08-17T00:00:00Z"/>
        <d v="2021-11-23T00:00:00Z"/>
        <d v="2023-03-04T00:00:00Z"/>
        <d v="2023-12-16T00:00:00Z"/>
        <d v="2024-05-19T00:00:00Z"/>
        <d v="2020-05-14T00:00:00Z"/>
        <d v="2021-08-29T00:00:00Z"/>
        <d v="2024-11-10T00:00:00Z"/>
        <d v="2021-12-05T00:00:00Z"/>
        <d v="2024-07-05T00:00:00Z"/>
        <d v="2024-06-25T00:00:00Z"/>
        <d v="2024-05-31T00:00:00Z"/>
        <d v="2020-10-20T00:00:00Z"/>
        <d v="2022-08-11T00:00:00Z"/>
        <d v="2021-10-17T00:00:00Z"/>
        <d v="2023-09-20T00:00:00Z"/>
        <d v="2021-01-19T00:00:00Z"/>
        <d v="2020-08-21T00:00:00Z"/>
        <d v="2023-04-17T00:00:00Z"/>
        <d v="2023-12-24T00:00:00Z"/>
        <d v="2022-03-20T00:00:00Z"/>
        <d v="2021-08-12T00:00:00Z"/>
        <d v="2020-12-21T00:00:00Z"/>
        <d v="2023-07-07T00:00:00Z"/>
        <d v="2023-08-13T00:00:00Z"/>
        <d v="2021-02-04T00:00:00Z"/>
        <d v="2022-09-16T00:00:00Z"/>
        <d v="2022-05-06T00:00:00Z"/>
        <d v="2021-05-28T00:00:00Z"/>
        <d v="2024-07-18T00:00:00Z"/>
        <d v="2024-12-06T00:00:00Z"/>
        <d v="2022-12-12T00:00:00Z"/>
        <d v="2022-10-20T00:00:00Z"/>
        <d v="2021-03-24T00:00:00Z"/>
        <d v="2025-01-06T00:00:00Z"/>
        <d v="2021-03-06T00:00:00Z"/>
        <d v="2020-06-17T00:00:00Z"/>
        <d v="2023-09-01T00:00:00Z"/>
        <d v="2023-06-08T00:00:00Z"/>
        <d v="2021-03-25T00:00:00Z"/>
        <d v="2021-01-03T00:00:00Z"/>
        <d v="2022-08-12T00:00:00Z"/>
        <d v="2022-03-28T00:00:00Z"/>
        <d v="2023-07-15T00:00:00Z"/>
        <d v="2022-09-22T00:00:00Z"/>
        <d v="2022-12-20T00:00:00Z"/>
        <d v="2023-01-29T00:00:00Z"/>
        <d v="2024-03-24T00:00:00Z"/>
        <d v="2025-02-19T00:00:00Z"/>
        <d v="2024-07-13T00:00:00Z"/>
        <d v="2023-04-28T00:00:00Z"/>
        <d v="2020-12-05T00:00:00Z"/>
        <d v="2024-05-14T00:00:00Z"/>
        <d v="2022-01-18T00:00:00Z"/>
        <d v="2023-09-18T00:00:00Z"/>
        <d v="2021-05-12T00:00:00Z"/>
        <d v="2023-09-17T00:00:00Z"/>
        <d v="2024-09-06T00:00:00Z"/>
        <d v="2022-06-18T00:00:00Z"/>
        <d v="2020-05-22T00:00:00Z"/>
        <d v="2024-10-17T00:00:00Z"/>
        <d v="2022-03-22T00:00:00Z"/>
        <d v="2024-03-17T00:00:00Z"/>
        <d v="2020-04-02T00:00:00Z"/>
        <d v="2024-03-13T00:00:00Z"/>
        <d v="2023-03-21T00:00:00Z"/>
        <d v="2024-03-02T00:00:00Z"/>
        <d v="2021-04-30T00:00:00Z"/>
        <d v="2021-09-15T00:00:00Z"/>
        <d v="2023-01-28T00:00:00Z"/>
        <d v="2021-07-08T00:00:00Z"/>
        <d v="2020-04-08T00:00:00Z"/>
        <d v="2022-08-23T00:00:00Z"/>
        <d v="2022-12-17T00:00:00Z"/>
        <d v="2022-06-08T00:00:00Z"/>
        <d v="2020-08-28T00:00:00Z"/>
        <d v="2020-09-26T00:00:00Z"/>
        <d v="2020-12-13T00:00:00Z"/>
        <d v="2020-11-19T00:00:00Z"/>
        <d v="2023-09-13T00:00:00Z"/>
        <d v="2020-03-31T00:00:00Z"/>
        <d v="2023-08-04T00:00:00Z"/>
        <d v="2022-04-11T00:00:00Z"/>
        <d v="2021-12-31T00:00:00Z"/>
        <d v="2020-08-16T00:00:00Z"/>
        <d v="2025-02-02T00:00:00Z"/>
        <d v="2022-02-24T00:00:00Z"/>
        <d v="2024-02-25T00:00:00Z"/>
        <d v="2021-06-15T00:00:00Z"/>
        <d v="2022-12-08T00:00:00Z"/>
        <d v="2023-12-09T00:00:00Z"/>
        <d v="2022-07-16T00:00:00Z"/>
        <d v="2024-05-05T00:00:00Z"/>
        <d v="2021-10-04T00:00:00Z"/>
        <d v="2021-11-20T00:00:00Z"/>
        <d v="2020-09-15T00:00:00Z"/>
        <d v="2023-01-17T00:00:00Z"/>
        <d v="2020-06-16T00:00:00Z"/>
        <d v="2024-05-01T00:00:00Z"/>
        <d v="2023-12-07T00:00:00Z"/>
        <d v="2024-02-02T00:00:00Z"/>
        <d v="2024-06-23T00:00:00Z"/>
        <d v="2024-06-07T00:00:00Z"/>
        <d v="2023-10-13T00:00:00Z"/>
        <d v="2022-10-08T00:00:00Z"/>
        <d v="2023-10-27T00:00:00Z"/>
        <d v="2021-02-09T00:00:00Z"/>
        <d v="2020-11-03T00:00:00Z"/>
        <d v="2022-05-30T00:00:00Z"/>
        <d v="2024-06-16T00:00:00Z"/>
        <d v="2022-07-15T00:00:00Z"/>
        <d v="2021-07-18T00:00:00Z"/>
        <d v="2021-10-02T00:00:00Z"/>
        <d v="2024-04-16T00:00:00Z"/>
        <d v="2020-07-09T00:00:00Z"/>
        <d v="2020-07-25T00:00:00Z"/>
        <d v="2024-01-24T00:00:00Z"/>
        <d v="2021-11-13T00:00:00Z"/>
        <d v="2023-10-07T00:00:00Z"/>
        <d v="2021-10-23T00:00:00Z"/>
        <d v="2022-07-18T00:00:00Z"/>
        <d v="2024-08-23T00:00:00Z"/>
        <d v="2020-10-28T00:00:00Z"/>
        <d v="2024-06-15T00:00:00Z"/>
        <d v="2024-12-19T00:00:00Z"/>
        <d v="2020-09-04T00:00:00Z"/>
        <d v="2022-04-16T00:00:00Z"/>
        <d v="2024-08-29T00:00:00Z"/>
        <d v="2022-01-14T00:00:00Z"/>
        <d v="2024-04-07T00:00:00Z"/>
        <d v="2022-04-24T00:00:00Z"/>
        <d v="2020-08-27T00:00:00Z"/>
        <d v="2023-03-01T00:00:00Z"/>
        <d v="2020-10-02T00:00:00Z"/>
        <d v="2020-06-23T00:00:00Z"/>
        <d v="2022-08-01T00:00:00Z"/>
        <d v="2020-07-16T00:00:00Z"/>
        <d v="2020-05-02T00:00:00Z"/>
        <d v="2024-01-10T00:00:00Z"/>
        <d v="2020-09-30T00:00:00Z"/>
        <d v="2021-01-30T00:00:00Z"/>
        <d v="2025-03-14T00:00:00Z"/>
        <d v="2021-10-26T00:00:00Z"/>
        <d v="2023-01-11T00:00:00Z"/>
        <d v="2021-10-31T00:00:00Z"/>
        <d v="2023-05-04T00:00:00Z"/>
        <d v="2024-08-09T00:00:00Z"/>
        <d v="2022-08-21T00:00:00Z"/>
        <d v="2022-06-19T00:00:00Z"/>
        <d v="2025-01-29T00:00:00Z"/>
        <d v="2023-06-15T00:00:00Z"/>
        <d v="2023-10-18T00:00:00Z"/>
        <d v="2022-06-13T00:00:00Z"/>
        <d v="2024-06-12T00:00:00Z"/>
        <d v="2021-02-18T00:00:00Z"/>
        <d v="2023-05-29T00:00:00Z"/>
        <d v="2021-06-04T00:00:00Z"/>
        <d v="2024-01-22T00:00:00Z"/>
        <d v="2022-12-27T00:00:00Z"/>
        <d v="2024-03-30T00:00:00Z"/>
        <d v="2020-04-04T00:00:00Z"/>
        <d v="2023-01-22T00:00:00Z"/>
        <d v="2022-04-12T00:00:00Z"/>
        <d v="2023-12-13T00:00:00Z"/>
        <d v="2023-05-24T00:00:00Z"/>
        <d v="2020-11-29T00:00:00Z"/>
        <d v="2020-08-19T00:00:00Z"/>
        <d v="2024-12-26T00:00:00Z"/>
        <d v="2021-12-03T00:00:00Z"/>
        <d v="2021-09-14T00:00:00Z"/>
        <d v="2021-09-30T00:00:00Z"/>
        <d v="2021-12-22T00:00:00Z"/>
        <d v="2022-05-18T00:00:00Z"/>
        <d v="2020-10-08T00:00:00Z"/>
        <d v="2022-08-20T00:00:00Z"/>
        <d v="2024-11-25T00:00:00Z"/>
        <d v="2025-02-20T00:00:00Z"/>
        <d v="2025-03-07T00:00:00Z"/>
        <d v="2020-11-21T00:00:00Z"/>
        <d v="2024-10-01T00:00:00Z"/>
        <d v="2024-07-01T00:00:00Z"/>
        <d v="2020-11-23T00:00:00Z"/>
        <d v="2023-03-18T00:00:00Z"/>
        <d v="2022-10-19T00:00:00Z"/>
        <d v="2023-08-31T00:00:00Z"/>
        <d v="2021-06-06T00:00:00Z"/>
        <d v="2022-12-21T00:00:00Z"/>
        <d v="2024-02-12T00:00:00Z"/>
        <d v="2021-04-04T00:00:00Z"/>
        <d v="2021-02-12T00:00:00Z"/>
        <d v="2024-01-19T00:00:00Z"/>
        <d v="2022-12-25T00:00:00Z"/>
        <d v="2022-10-06T00:00:00Z"/>
        <d v="2020-04-27T00:00:00Z"/>
        <d v="2024-05-13T00:00:00Z"/>
        <d v="2020-10-23T00:00:00Z"/>
        <d v="2021-06-11T00:00:00Z"/>
        <d v="2022-11-23T00:00:00Z"/>
        <d v="2022-10-31T00:00:00Z"/>
        <d v="2023-11-06T00:00:00Z"/>
        <d v="2023-06-26T00:00:00Z"/>
        <d v="2023-09-30T00:00:00Z"/>
        <d v="2020-09-12T00:00:00Z"/>
        <d v="2020-11-27T00:00:00Z"/>
        <d v="2022-08-25T00:00:00Z"/>
        <d v="2023-08-23T00:00:00Z"/>
        <d v="2023-10-11T00:00:00Z"/>
        <d v="2022-04-21T00:00:00Z"/>
        <d v="2023-09-14T00:00:00Z"/>
        <d v="2020-04-29T00:00:00Z"/>
        <d v="2020-12-15T00:00:00Z"/>
        <d v="2024-07-11T00:00:00Z"/>
        <d v="2024-09-21T00:00:00Z"/>
        <d v="2022-10-21T00:00:00Z"/>
        <d v="2020-10-21T00:00:00Z"/>
        <d v="2022-01-11T00:00:00Z"/>
        <d v="2021-02-17T00:00:00Z"/>
        <d v="2021-11-06T00:00:00Z"/>
        <d v="2022-08-30T00:00:00Z"/>
        <d v="2023-06-04T00:00:00Z"/>
        <d v="2022-05-13T00:00:00Z"/>
        <d v="2023-01-23T00:00:00Z"/>
        <d v="2025-03-08T00:00:00Z"/>
        <d v="2024-04-24T00:00:00Z"/>
        <d v="2021-12-24T00:00:00Z"/>
        <d v="2023-09-07T00:00:00Z"/>
        <d v="2021-08-10T00:00:00Z"/>
        <d v="2024-05-26T00:00:00Z"/>
        <d v="2022-02-19T00:00:00Z"/>
        <d v="2024-12-09T00:00:00Z"/>
        <d v="2023-06-01T00:00:00Z"/>
        <d v="2023-11-05T00:00:00Z"/>
        <d v="2020-06-21T00:00:00Z"/>
        <d v="2020-10-26T00:00:00Z"/>
        <d v="2022-06-06T00:00:00Z"/>
        <d v="2021-11-11T00:00:00Z"/>
        <d v="2021-07-31T00:00:00Z"/>
        <d v="2024-04-13T00:00:00Z"/>
        <d v="2024-03-23T00:00:00Z"/>
        <d v="2021-05-07T00:00:00Z"/>
        <d v="2021-08-09T00:00:00Z"/>
        <d v="2025-02-09T00:00:00Z"/>
        <d v="2024-04-23T00:00:00Z"/>
        <d v="2023-02-23T00:00:00Z"/>
        <d v="2024-06-06T00:00:00Z"/>
        <d v="2025-01-27T00:00:00Z"/>
        <d v="2023-04-07T00:00:00Z"/>
        <d v="2022-01-20T00:00:00Z"/>
        <d v="2022-05-10T00:00:00Z"/>
        <d v="2024-05-29T00:00:00Z"/>
        <d v="2022-01-04T00:00:00Z"/>
        <d v="2024-05-02T00:00:00Z"/>
        <d v="2021-12-28T00:00:00Z"/>
        <d v="2023-08-17T00:00:00Z"/>
        <d v="2021-11-29T00:00:00Z"/>
        <d v="2021-06-13T00:00:00Z"/>
        <d v="2022-07-04T00:00:00Z"/>
        <d v="2021-06-27T00:00:00Z"/>
        <d v="2023-12-04T00:00:00Z"/>
        <d v="2022-08-09T00:00:00Z"/>
        <d v="2023-10-20T00:00:00Z"/>
        <d v="2022-02-10T00:00:00Z"/>
        <d v="2023-10-05T00:00:00Z"/>
        <d v="2021-04-03T00:00:00Z"/>
        <d v="2021-05-03T00:00:00Z"/>
        <d v="2024-02-11T00:00:00Z"/>
        <d v="2025-02-04T00:00:00Z"/>
        <d v="2022-10-12T00:00:00Z"/>
        <d v="2022-02-06T00:00:00Z"/>
        <d v="2020-11-09T00:00:00Z"/>
        <d v="2023-05-03T00:00:00Z"/>
        <d v="2022-10-04T00:00:00Z"/>
        <d v="2024-08-21T00:00:00Z"/>
        <d v="2020-05-13T00:00:00Z"/>
        <d v="2021-01-21T00:00:00Z"/>
        <d v="2022-02-28T00:00:00Z"/>
        <d v="2024-04-25T00:00:00Z"/>
        <d v="2023-03-10T00:00:00Z"/>
        <d v="2023-07-10T00:00:00Z"/>
        <d v="2024-07-28T00:00:00Z"/>
        <d v="2023-07-30T00:00:00Z"/>
        <d v="2024-10-05T00:00:00Z"/>
        <d v="2024-02-20T00:00:00Z"/>
        <d v="2023-04-19T00:00:00Z"/>
        <d v="2023-10-29T00:00:00Z"/>
        <d v="2022-03-08T00:00:00Z"/>
        <d v="2024-07-27T00:00:00Z"/>
        <d v="2022-07-05T00:00:00Z"/>
        <d v="2024-07-04T00:00:00Z"/>
        <d v="2024-02-28T00:00:00Z"/>
        <d v="2025-01-03T00:00:00Z"/>
        <d v="2021-12-07T00:00:00Z"/>
        <d v="2021-12-14T00:00:00Z"/>
        <d v="2020-11-30T00:00:00Z"/>
        <d v="2021-12-29T00:00:00Z"/>
        <d v="2024-07-08T00:00:00Z"/>
        <d v="2021-02-10T00:00:00Z"/>
        <d v="2023-12-28T00:00:00Z"/>
        <d v="2022-08-10T00:00:00Z"/>
        <d v="2023-10-17T00:00:00Z"/>
        <d v="2024-05-24T00:00:00Z"/>
        <d v="2024-02-10T00:00:00Z"/>
        <d v="2021-02-06T00:00:00Z"/>
        <d v="2022-03-16T00:00:00Z"/>
        <d v="2020-05-24T00:00:00Z"/>
        <d v="2025-02-16T00:00:00Z"/>
        <d v="2024-09-08T00:00:00Z"/>
        <d v="2022-06-29T00:00:00Z"/>
        <d v="2022-11-03T00:00:00Z"/>
        <d v="2023-11-28T00:00:00Z"/>
        <d v="2020-04-25T00:00:00Z"/>
        <d v="2022-03-23T00:00:00Z"/>
        <d v="2020-06-24T00:00:00Z"/>
        <d v="2024-11-24T00:00:00Z"/>
        <d v="2020-11-06T00:00:00Z"/>
        <d v="2023-10-24T00:00:00Z"/>
        <d v="2023-07-18T00:00:00Z"/>
        <d v="2022-10-22T00:00:00Z"/>
        <d v="2023-07-17T00:00:00Z"/>
        <d v="2025-02-24T00:00:00Z"/>
        <d v="2021-03-07T00:00:00Z"/>
        <d v="2023-10-25T00:00:00Z"/>
        <d v="2023-04-02T00:00:00Z"/>
        <d v="2024-10-21T00:00:00Z"/>
        <d v="2021-07-09T00:00:00Z"/>
        <d v="2022-04-08T00:00:00Z"/>
        <d v="2022-04-30T00:00:00Z"/>
        <d v="2023-01-20T00:00:00Z"/>
        <d v="2024-11-17T00:00:00Z"/>
        <d v="2022-04-23T00:00:00Z"/>
        <d v="2025-02-18T00:00:00Z"/>
        <d v="2021-05-27T00:00:00Z"/>
        <d v="2022-01-17T00:00:00Z"/>
        <d v="2025-01-15T00:00:00Z"/>
        <d v="2021-02-14T00:00:00Z"/>
        <d v="2024-08-31T00:00:00Z"/>
        <d v="2022-12-26T00:00:00Z"/>
        <d v="2024-03-21T00:00:00Z"/>
        <d v="2022-07-17T00:00:00Z"/>
        <d v="2024-12-05T00:00:00Z"/>
        <d v="2023-11-02T00:00:00Z"/>
        <d v="2022-11-13T00:00:00Z"/>
        <d v="2022-12-28T00:00:00Z"/>
        <d v="2025-02-26T00:00:00Z"/>
        <d v="2022-11-12T00:00:00Z"/>
        <d v="2021-06-07T00:00:00Z"/>
        <d v="2024-04-10T00:00:00Z"/>
        <d v="2023-12-21T00:00:00Z"/>
        <d v="2024-11-21T00:00:00Z"/>
        <d v="2022-03-17T00:00:00Z"/>
        <d v="2023-05-14T00:00:00Z"/>
        <d v="2024-10-07T00:00:00Z"/>
        <d v="2020-09-08T00:00:00Z"/>
        <d v="2021-08-19T00:00:00Z"/>
        <d v="2020-05-23T00:00:00Z"/>
        <d v="2020-04-18T00:00:00Z"/>
        <d v="2022-06-04T00:00:00Z"/>
        <d v="2022-11-16T00:00:00Z"/>
        <d v="2020-08-10T00:00:00Z"/>
        <d v="2024-06-22T00:00:00Z"/>
        <d v="2020-07-13T00:00:00Z"/>
        <d v="2021-03-13T00:00:00Z"/>
        <d v="2023-04-01T00:00:00Z"/>
        <d v="2020-11-10T00:00:00Z"/>
        <d v="2022-09-03T00:00:00Z"/>
        <d v="2020-10-01T00:00:00Z"/>
        <d v="2022-05-27T00:00:00Z"/>
        <d v="2024-03-10T00:00:00Z"/>
        <d v="2022-08-28T00:00:00Z"/>
        <d v="2021-04-27T00:00:00Z"/>
        <d v="2021-08-21T00:00:00Z"/>
        <d v="2021-05-16T00:00:00Z"/>
        <d v="2022-02-15T00:00:00Z"/>
        <d v="2023-11-30T00:00:00Z"/>
        <d v="2023-01-12T00:00:00Z"/>
        <d v="2023-05-19T00:00:00Z"/>
        <d v="2024-02-19T00:00:00Z"/>
        <d v="2021-12-01T00:00:00Z"/>
        <d v="2023-01-18T00:00:00Z"/>
        <d v="2020-12-23T00:00:00Z"/>
        <d v="2021-02-28T00:00:00Z"/>
        <d v="2020-04-22T00:00:00Z"/>
        <d v="2021-08-13T00:00:00Z"/>
        <d v="2023-07-20T00:00:00Z"/>
        <d v="2023-03-14T00:00:00Z"/>
        <d v="2023-11-07T00:00:00Z"/>
        <d v="2024-10-31T00:00:00Z"/>
        <d v="2021-10-29T00:00:00Z"/>
        <d v="2023-12-27T00:00:00Z"/>
        <d v="2023-06-25T00:00:00Z"/>
        <d v="2020-09-01T00:00:00Z"/>
        <d v="2025-02-01T00:00:00Z"/>
        <d v="2023-07-22T00:00:00Z"/>
        <d v="2022-02-04T00:00:00Z"/>
        <d v="2023-09-27T00:00:00Z"/>
        <d v="2025-01-30T00:00:00Z"/>
        <d v="2021-03-28T00:00:00Z"/>
        <d v="2021-12-25T00:00:00Z"/>
        <d v="2024-11-22T00:00:00Z"/>
        <d v="2024-10-08T00:00:00Z"/>
        <d v="2020-12-16T00:00:00Z"/>
        <d v="2025-03-15T00:00:00Z"/>
        <d v="2020-09-21T00:00:00Z"/>
        <d v="2025-01-11T00:00:00Z"/>
        <d v="2021-10-20T00:00:00Z"/>
        <d v="2021-10-19T00:00:00Z"/>
        <d v="2024-07-07T00:00:00Z"/>
        <d v="2023-07-25T00:00:00Z"/>
        <d v="2020-04-16T00:00:00Z"/>
        <d v="2020-07-04T00:00:00Z"/>
        <d v="2023-11-25T00:00:00Z"/>
        <d v="2023-07-02T00:00:00Z"/>
        <d v="2020-08-24T00:00:00Z"/>
        <d v="2022-11-07T00:00:00Z"/>
        <d v="2024-03-27T00:00:00Z"/>
        <d v="2024-09-01T00:00:00Z"/>
        <d v="2022-02-22T00:00:00Z"/>
        <d v="2022-02-11T00:00:00Z"/>
        <d v="2023-07-05T00:00:00Z"/>
        <d v="2020-10-27T00:00:00Z"/>
        <d v="2023-01-26T00:00:00Z"/>
        <d v="2021-09-06T00:00:00Z"/>
        <d v="2024-07-30T00:00:00Z"/>
        <d v="2022-03-15T00:00:00Z"/>
        <d v="2024-03-15T00:00:00Z"/>
        <d v="2022-07-23T00:00:00Z"/>
        <d v="2024-09-13T00:00:00Z"/>
        <d v="2022-01-25T00:00:00Z"/>
        <d v="2021-04-19T00:00:00Z"/>
        <d v="2022-06-24T00:00:00Z"/>
        <d v="2024-06-08T00:00:00Z"/>
        <d v="2022-09-29T00:00:00Z"/>
        <d v="2023-05-10T00:00:00Z"/>
        <d v="2021-04-12T00:00:00Z"/>
        <d v="2023-11-04T00:00:00Z"/>
        <d v="2023-09-10T00:00:00Z"/>
        <d v="2024-01-05T00:00:00Z"/>
        <d v="2024-05-08T00:00:00Z"/>
        <d v="2020-09-10T00:00:00Z"/>
        <d v="2020-07-12T00:00:00Z"/>
        <d v="2023-02-17T00:00:00Z"/>
        <d v="2021-07-21T00:00:00Z"/>
        <d v="2020-12-31T00:00:00Z"/>
        <d v="2023-04-05T00:00:00Z"/>
        <d v="2024-12-29T00:00:00Z"/>
        <d v="2020-08-11T00:00:00Z"/>
        <d v="2024-03-04T00:00:00Z"/>
        <d v="2023-07-28T00:00:00Z"/>
        <d v="2021-11-27T00:00:00Z"/>
        <d v="2020-09-09T00:00:00Z"/>
        <d v="2021-06-02T00:00:00Z"/>
        <d v="2022-08-22T00:00:00Z"/>
        <d v="2021-03-12T00:00:00Z"/>
        <d v="2024-06-26T00:00:00Z"/>
        <d v="2023-12-08T00:00:00Z"/>
        <d v="2024-11-27T00:00:00Z"/>
        <d v="2022-01-10T00:00:00Z"/>
        <d v="2021-11-01T00:00:00Z"/>
        <d v="2023-10-28T00:00:00Z"/>
        <d v="2025-03-01T00:00:00Z"/>
        <d v="2024-08-01T00:00:00Z"/>
        <d v="2023-06-07T00:00:00Z"/>
        <d v="2021-01-04T00:00:00Z"/>
        <d v="2024-12-14T00:00:00Z"/>
        <d v="2022-07-25T00:00:00Z"/>
        <d v="2022-05-07T00:00:00Z"/>
        <d v="2022-09-12T00:00:00Z"/>
        <d v="2023-08-20T00:00:00Z"/>
        <d v="2020-12-27T00:00:00Z"/>
        <d v="2023-09-04T00:00:00Z"/>
        <d v="2022-01-08T00:00:00Z"/>
        <d v="2023-06-05T00:00:00Z"/>
        <d v="2021-04-01T00:00:00Z"/>
        <d v="2024-05-28T00:00:00Z"/>
        <d v="2023-03-09T00:00:00Z"/>
        <d v="2022-07-28T00:00:00Z"/>
        <d v="2021-06-17T00:00:00Z"/>
        <d v="2024-02-13T00:00:00Z"/>
        <d v="2021-08-06T00:00:00Z"/>
        <d v="2022-05-01T00:00:00Z"/>
        <d v="2024-03-11T00:00:00Z"/>
        <d v="2020-07-06T00:00:00Z"/>
        <d v="2020-12-17T00:00:00Z"/>
        <d v="2025-02-27T00:00:00Z"/>
        <d v="2021-06-05T00:00:00Z"/>
        <d v="2022-12-22T00:00:00Z"/>
        <d v="2025-01-25T00:00:00Z"/>
        <d v="2025-02-14T00:00:00Z"/>
        <d v="2023-01-06T00:00:00Z"/>
        <d v="2020-10-11T00:00:00Z"/>
        <d v="2024-03-12T00:00:00Z"/>
        <d v="2022-05-17T00:00:00Z"/>
        <d v="2021-08-24T00:00:00Z"/>
        <d v="2024-02-21T00:00:00Z"/>
        <d v="2022-05-15T00:00:00Z"/>
        <d v="2022-07-22T00:00:00Z"/>
        <d v="2021-12-13T00:00:00Z"/>
        <d v="2021-06-03T00:00:00Z"/>
        <d v="2023-02-02T00:00:00Z"/>
        <d v="2022-06-05T00:00:00Z"/>
        <d v="2020-05-11T00:00:00Z"/>
        <d v="2020-11-25T00:00:00Z"/>
        <d v="2023-08-12T00:00:00Z"/>
        <d v="2024-01-17T00:00:00Z"/>
        <d v="2021-11-24T00:00:00Z"/>
        <d v="2021-10-06T00:00:00Z"/>
        <d v="2022-05-23T00:00:00Z"/>
        <d v="2021-02-22T00:00:00Z"/>
        <d v="2020-06-07T00:00:00Z"/>
        <d v="2024-05-21T00:00:00Z"/>
        <d v="2020-08-05T00:00:00Z"/>
        <d v="2020-10-15T00:00:00Z"/>
        <d v="2021-05-15T00:00:00Z"/>
        <d v="2022-01-13T00:00:00Z"/>
        <d v="2023-11-18T00:00:00Z"/>
        <d v="2022-01-19T00:00:00Z"/>
        <d v="2024-08-07T00:00:00Z"/>
        <d v="2022-07-26T00:00:00Z"/>
        <d v="2024-01-13T00:00:00Z"/>
        <d v="2023-04-25T00:00:00Z"/>
        <d v="2021-07-05T00:00:00Z"/>
        <d v="2024-10-12T00:00:00Z"/>
        <d v="2024-02-07T00:00:00Z"/>
        <d v="2021-03-05T00:00:00Z"/>
        <d v="2021-08-02T00:00:00Z"/>
        <d v="2022-08-19T00:00:00Z"/>
        <d v="2024-09-19T00:00:00Z"/>
        <d v="2020-04-05T00:00:00Z"/>
        <d v="2023-03-16T00:00:00Z"/>
        <d v="2024-10-15T00:00:00Z"/>
        <d v="2022-06-09T00:00:00Z"/>
        <d v="2023-04-09T00:00:00Z"/>
        <d v="2023-11-24T00:00:00Z"/>
        <d v="2023-11-29T00:00:00Z"/>
        <d v="2024-05-20T00:00:00Z"/>
        <d v="2022-07-13T00:00:00Z"/>
        <d v="2020-04-19T00:00:00Z"/>
        <d v="2024-11-14T00:00:00Z"/>
        <d v="2021-03-21T00:00:00Z"/>
        <d v="2023-05-31T00:00:00Z"/>
        <d v="2025-01-14T00:00:00Z"/>
        <d v="2020-12-24T00:00:00Z"/>
        <d v="2021-10-05T00:00:00Z"/>
        <d v="2024-12-28T00:00:00Z"/>
        <d v="2022-05-14T00:00:00Z"/>
        <d v="2023-08-19T00:00:00Z"/>
        <d v="2023-07-14T00:00:00Z"/>
        <d v="2023-06-22T00:00:00Z"/>
        <d v="2021-05-25T00:00:00Z"/>
        <d v="2024-04-02T00:00:00Z"/>
        <d v="2022-12-03T00:00:00Z"/>
        <d v="2021-07-12T00:00:00Z"/>
        <d v="2020-03-22T00:00:00Z"/>
        <d v="2020-08-09T00:00:00Z"/>
        <d v="2022-02-18T00:00:00Z"/>
        <d v="2021-06-14T00:00:00Z"/>
        <d v="2021-03-01T00:00:00Z"/>
        <d v="2023-09-23T00:00:00Z"/>
        <d v="2024-07-31T00:00:00Z"/>
        <d v="2020-06-02T00:00:00Z"/>
        <d v="2022-12-15T00:00:00Z"/>
        <d v="2020-08-07T00:00:00Z"/>
        <d v="2024-10-26T00:00:00Z"/>
      </sharedItems>
    </cacheField>
    <cacheField name="CustomerName" numFmtId="0">
      <sharedItems>
        <s v="David Padilla"/>
        <s v="Connor Morgan"/>
        <s v="Robert Stone"/>
        <s v="John Fields"/>
        <s v="Clayton Smith"/>
        <s v="Richard Kelley"/>
        <s v="Jacqueline Hubbard"/>
        <s v="Jessica Anderson"/>
        <s v="Mary Taylor"/>
        <s v="Walter Crawford"/>
        <s v="Lawrence Robinson"/>
        <s v="Douglas Pennington"/>
        <s v="Ricardo Andrews"/>
        <s v="Paul Raymond"/>
        <s v="Karen Johnson"/>
        <s v="Juan Erickson"/>
        <s v="Alexander Reed"/>
        <s v="Jacqueline Harris"/>
        <s v="Tyler Park"/>
        <s v="Richard Wolfe"/>
        <s v="Sierra Rios"/>
        <s v="Jessica Richardson"/>
        <s v="Kimberly Warren"/>
        <s v="Casey Garcia"/>
        <s v="Denise Hampton"/>
        <s v="Justin Rodriguez"/>
        <s v="Ms. Emily Baxter"/>
        <s v="Austin White"/>
        <s v="Morgan Montes"/>
        <s v="Christine Mosley"/>
        <s v="Ashley Rodriguez"/>
        <s v="Elizabeth King"/>
        <s v="Connie Holmes"/>
        <s v="Melissa Peck"/>
        <s v="David Smith"/>
        <s v="Heather Jenkins"/>
        <s v="Kelsey Castaneda"/>
        <s v="Katherine Harris"/>
        <s v="Paul Rogers"/>
        <s v="Jon Banks"/>
        <s v="Michelle Williams"/>
        <s v="Andrew Allen"/>
        <s v="Vanessa Bauer"/>
        <s v="Sean Smith"/>
        <s v="Shelly Sweeney"/>
        <s v="Emily Gill"/>
        <s v="Brian Patrick"/>
        <s v="Dr. Sarah Booth"/>
        <s v="Douglas Mcfarland"/>
        <s v="Kayla Ross"/>
        <s v="Marc Strickland"/>
        <s v="Charlene Brown"/>
        <s v="Charles Smith"/>
        <s v="Karen Townsend"/>
        <s v="Steven Cox"/>
        <s v="Cynthia Rodriguez"/>
        <s v="Jessica Baker"/>
        <s v="Mark Blackburn"/>
        <s v="Zachary Perez"/>
        <s v="Brian Green"/>
        <s v="Becky Leach"/>
        <s v="Bryan Russell"/>
        <s v="Tony Maddox"/>
        <s v="Jason Randolph"/>
        <s v="Laura Andrews"/>
        <s v="Mrs. Stephanie Hooper"/>
        <s v="Anthony Evans"/>
        <s v="Patrick Williams"/>
        <s v="Susan Burke"/>
        <s v="Brent Hernandez"/>
        <s v="Sean Elliott"/>
        <s v="Wanda West"/>
        <s v="Renee Solomon"/>
        <s v="Daryl Miles"/>
        <s v="Michael Hunt"/>
        <s v="Adam Clark"/>
        <s v="Amy Olsen"/>
        <s v="Stacey Miller"/>
        <s v="Daniel Mosley"/>
        <s v="Monica Gibson"/>
        <s v="Christopher Jordan"/>
        <s v="Christina Davis"/>
        <s v="Claudia Curry"/>
        <s v="Brandon Anderson"/>
        <s v="George Foster"/>
        <s v="Nicholas Anderson"/>
        <s v="Emily Ellison"/>
        <s v="Darren Perez"/>
        <s v="Michelle Hunter"/>
        <s v="Janet Guerrero"/>
        <s v="Jeffrey Kline"/>
        <s v="Ryan Bullock"/>
        <s v="Tom Lawson"/>
        <s v="Rebecca Smith"/>
        <s v="William Welch"/>
        <s v="Mr. Curtis Bailey"/>
        <s v="Janet Carlson"/>
        <s v="Spencer Spears"/>
        <s v="Jeffrey Middleton"/>
        <s v="Veronica Kelley"/>
        <s v="Leslie Bean"/>
        <s v="Amy Wilson"/>
        <s v="Susan Ramirez"/>
        <s v="Jacob Meyer"/>
        <s v="Scott Lewis"/>
        <s v="Eric Griffith"/>
        <s v="Anna Ferguson"/>
        <s v="David Figueroa"/>
        <s v="Theresa Medina"/>
        <s v="Mary Smith"/>
        <s v="Lance Cain"/>
        <s v="Alexandra Moran"/>
        <s v="Sara Castro"/>
        <s v="Shawn Leach"/>
        <s v="Mark Boyle"/>
        <s v="John Stevens"/>
        <s v="Lisa Graham"/>
        <s v="Nancy Jones"/>
        <s v="Darryl Robbins"/>
        <s v="Kimberly Smith"/>
        <s v="Maria Thomas"/>
        <s v="Nicholas Johnson"/>
        <s v="Dawn Howard"/>
        <s v="Jennifer Marshall"/>
        <s v="Frank Garcia"/>
        <s v="Terri Madden"/>
        <s v="James Gutierrez"/>
        <s v="Morgan Sellers"/>
        <s v="Caitlin Thomas"/>
        <s v="Kimberly Greene"/>
        <s v="Tammy Anthony"/>
        <s v="Jennifer Chase"/>
        <s v="Cassandra Farley"/>
        <s v="Justin Vasquez"/>
        <s v="Melissa Morales"/>
        <s v="Tyler Thompson"/>
        <s v="Heidi Davis"/>
        <s v="Charles Lane"/>
        <s v="Joyce Good Md"/>
        <s v="Maria Miller"/>
        <s v="Terry Mcdaniel"/>
        <s v="Lisa Jacobs"/>
        <s v="Jeff Duncan"/>
        <s v="Pamela Jones"/>
        <s v="Renee Robinson"/>
        <s v="Jessica Kidd"/>
        <s v="Nicholas Martin"/>
        <s v="David Brown"/>
        <s v="Amber Moore"/>
        <s v="James Williams"/>
        <s v="Karina Barr"/>
        <s v="Meghan Rush"/>
        <s v="Bianca Brown"/>
        <s v="Timothy Jensen"/>
        <s v="Melinda Montoya"/>
        <s v="Tammy Bell"/>
        <s v="Connie Richards"/>
        <s v="Peter Ward"/>
        <s v="Jonathan Alvarez"/>
        <s v="Becky Hodges"/>
        <s v="Larry Hill"/>
        <s v="Amber Moon"/>
        <s v="Cynthia Wilcox"/>
        <s v="Rebecca Wright"/>
        <s v="Sarah Flores"/>
        <s v="Carol Norman"/>
        <s v="Stephanie Gardner"/>
        <s v="Philip Baker"/>
        <s v="Randall Dennis"/>
        <s v="Suzanne Cross"/>
        <s v="Jasmine Delgado"/>
        <s v="Kristen Harper"/>
        <s v="Kaitlyn Graham Md"/>
        <s v="Dean Avila"/>
        <s v="Megan Mack"/>
        <s v="Heather Johnson"/>
        <s v="Tina Davies"/>
        <s v="Matthew Harris"/>
        <s v="Christopher Kirk"/>
        <s v="Eric Stevens"/>
        <s v="James Dickerson"/>
        <s v="James Jones"/>
        <s v="Hannah Hendricks"/>
        <s v="Brett Mullins"/>
        <s v="Ms. Kim Jordan"/>
        <s v="Marcus Santiago"/>
        <s v="Jill Perez"/>
        <s v="Courtney Williams"/>
        <s v="Jordan Hahn"/>
        <s v="William Cook"/>
        <s v="Stephanie Hayes"/>
        <s v="Melissa Wise"/>
        <s v="Elizabeth Gonzalez"/>
        <s v="Mr. Eric Lopez"/>
        <s v="Benjamin Higgins"/>
        <s v="Brett Sutton"/>
        <s v="Anna Blackburn"/>
        <s v="Michelle Bailey"/>
        <s v="Sara Peterson"/>
        <s v="Katherine Williams"/>
        <s v="Cory Evans"/>
        <s v="Michael Rodriguez"/>
        <s v="John Munoz"/>
        <s v="David Clark"/>
        <s v="April Welch"/>
        <s v="Alan Livingston"/>
        <s v="Angela Jackson"/>
        <s v="Amy Williams"/>
        <s v="Laura Jordan"/>
        <s v="Richard Maynard"/>
        <s v="Lawrence Oliver"/>
        <s v="Anthony Williams"/>
        <s v="Lynn Matthews"/>
        <s v="Andrew Griffin"/>
        <s v="Megan Williams"/>
        <s v="Alison Martin"/>
        <s v="Samuel Wallace"/>
        <s v="Manuel Stark"/>
        <s v="William Villarreal"/>
        <s v="Brandon Kirk"/>
        <s v="Abigail Brown"/>
        <s v="Kristine Carter"/>
        <s v="Wesley Deleon"/>
        <s v="Laura Cole"/>
        <s v="Lauren Harris"/>
        <s v="Cameron Miller"/>
        <s v="Jacob Carpenter"/>
        <s v="Pamela Callahan Dvm"/>
        <s v="William Ruiz"/>
        <s v="Paula Marshall"/>
        <s v="Natalie Cox"/>
        <s v="Andrew Fernandez"/>
        <s v="Alisha Saunders"/>
        <s v="Travis Chandler Dds"/>
        <s v="Russell Austin"/>
        <s v="Collin Cameron"/>
        <s v="Elizabeth Hernandez"/>
        <s v="William Russell"/>
        <s v="Sheri Berg"/>
        <s v="Anthony Barnett"/>
        <s v="Kaitlyn Flores"/>
        <s v="Rebecca Owen"/>
        <s v="Michael Bell"/>
        <s v="Willie Huynh"/>
        <s v="Samuel Hayes"/>
        <s v="Sherry Tran"/>
        <s v="Heather Gray"/>
        <s v="Benjamin Meadows"/>
        <s v="Micheal Graham"/>
        <s v="Jean Jackson"/>
        <s v="Timothy Murphy"/>
        <s v="Mrs. Jennifer Lewis"/>
        <s v="Bryan Brown"/>
        <s v="Christopher Johnson"/>
        <s v="Christina Conner"/>
        <s v="Luis Luna"/>
        <s v="Julie Chavez"/>
        <s v="Richard Blair"/>
        <s v="Mitchell Lester"/>
        <s v="Mr. John Tyler Phd"/>
        <s v="Juan Kelly"/>
        <s v="Morgan Mccarthy"/>
        <s v="Morgan Sullivan"/>
        <s v="Eric Clark"/>
        <s v="Mark Padilla"/>
        <s v="Anthony Lane"/>
        <s v="Jeffrey Henderson"/>
        <s v="Michelle Hardy"/>
        <s v="Ms. Barbara Cervantes"/>
        <s v="Steven Proctor"/>
        <s v="Shannon Patterson"/>
        <s v="William Valdez"/>
        <s v="Laura Yu"/>
        <s v="Jonathan Mcmillan"/>
        <s v="Austin Davis"/>
        <s v="Mark Roy"/>
        <s v="Jillian Williams"/>
        <s v="Rebekah Carter"/>
        <s v="Jonathan Reed"/>
        <s v="Roger Harris"/>
        <s v="Louis Jimenez"/>
        <s v="Jessica Jones"/>
        <s v="Renee Gomez"/>
        <s v="Connie Olson"/>
        <s v="Christian Jones"/>
        <s v="Matthew Kelley"/>
        <s v="Candace Martinez"/>
        <s v="Jacob Mann"/>
        <s v="Keith Reese"/>
        <s v="Aaron Jones"/>
        <s v="Christopher Brooks"/>
        <s v="Charles Moore"/>
        <s v="Manuel Walls"/>
        <s v="Darren Moore"/>
        <s v="Stephanie Thomas"/>
        <s v="Kristy Hernandez"/>
        <s v="Randy Johnson"/>
        <s v="James Benitez"/>
        <s v="Donald York"/>
        <s v="Tiffany Parker"/>
        <s v="Melissa Mcknight"/>
        <s v="Mr. Jack Mercado"/>
        <s v="Rachel Fisher"/>
        <s v="Donald Moore"/>
        <s v="William Wu"/>
        <s v="Jesus Zuniga"/>
        <s v="Michael Gallegos"/>
        <s v="Robert Daniels"/>
        <s v="Jill Jones"/>
        <s v="Elizabeth Miller"/>
        <s v="Sabrina Clark"/>
        <s v="Larry Casey"/>
        <s v="Daniel Burns"/>
        <s v="James Tanner"/>
        <s v="Leonard Gonzalez"/>
        <s v="Richard Lee"/>
        <s v="Matthew Schroeder"/>
        <s v="Marcus Flores"/>
        <s v="Tonya Long"/>
        <s v="Michael Chambers"/>
        <s v="Kaylee Glover"/>
        <s v="Pamela Patterson"/>
        <s v="Ronald Mckinney"/>
        <s v="James Hart"/>
        <s v="Rhonda Harris"/>
        <s v="Randy Fisher"/>
        <s v="James Hernandez"/>
        <s v="Brenda Murphy"/>
        <s v="Andrew Kirby"/>
        <s v="Justin Thomas"/>
        <s v="Jillian Johnson Md"/>
        <s v="William Martin"/>
        <s v="Mark Dixon"/>
        <s v="Alicia Allen"/>
        <s v="Cynthia Meyer"/>
        <s v="Brandon Norton"/>
        <s v="Christina Scott"/>
        <s v="Andrew Macias"/>
        <s v="Alejandro Williams"/>
        <s v="Mark Rodriguez"/>
        <s v="Sarah Montgomery"/>
        <s v="Marisa Prince"/>
        <s v="James Bonilla"/>
        <s v="Robin Myers"/>
        <s v="Nancy Sanchez"/>
        <s v="Sydney Walls"/>
        <s v="Deborah Hoffman"/>
        <s v="Shane Clark"/>
        <s v="Steven Haynes"/>
        <s v="Kimberly Fuller"/>
        <s v="Angela Lyons"/>
        <s v="Betty Tucker"/>
        <s v="Brianna Hunt"/>
        <s v="Cathy Clark"/>
        <s v="Nicole Warren"/>
        <s v="Richard Castaneda"/>
        <s v="Sarah Torres"/>
        <s v="Vanessa Deleon"/>
        <s v="Richard Lyons"/>
        <s v="Eric Adams"/>
        <s v="Chad Brown"/>
        <s v="Kayla Becker"/>
        <s v="Ashley Freeman"/>
        <s v="Scott Harris"/>
        <s v="John James"/>
        <s v="Jesse Bond"/>
        <s v="Brandon Hughes"/>
        <s v="Lynn Reynolds"/>
        <s v="Ronald Good"/>
        <s v="Kyle Baker"/>
        <s v="Michael Rivera"/>
        <s v="Lori Adkins"/>
        <s v="Luis Warner"/>
        <s v="Donald Perry"/>
        <s v="Adam Stevens"/>
        <s v="Kimberly Johnson"/>
        <s v="Kelly Jones"/>
        <s v="Ashley Petty"/>
        <s v="Crystal Ross"/>
        <s v="Alexis Duffy"/>
        <s v="Stephanie Sanchez"/>
        <s v="Reginald Espinoza"/>
        <s v="Sandra Hicks"/>
        <s v="Olivia Orozco"/>
        <s v="Larry Moore"/>
        <s v="Mrs. Rachel Cannon Dds"/>
        <s v="Daniel Flowers"/>
        <s v="Randy Acosta"/>
        <s v="Deborah Williams"/>
        <s v="Robert Michael"/>
        <s v="Danny Ramirez"/>
        <s v="Stephen Baker"/>
        <s v="Jeffrey Wilcox"/>
        <s v="James Clarke"/>
        <s v="Julia Gallagher"/>
        <s v="Ronald Frey Jr."/>
        <s v="Megan Charles"/>
        <s v="Amy Duran Md"/>
        <s v="Christopher Thomas"/>
        <s v="Peter Castro"/>
        <s v="Steven Acosta"/>
        <s v="Lindsay Jackson"/>
        <s v="Kelly Smith"/>
        <s v="Sabrina Hartman"/>
        <s v="Cynthia Smith"/>
        <s v="Olivia Dickerson"/>
        <s v="Whitney Stout"/>
        <s v="Stephanie Flores"/>
        <s v="Gregory English"/>
        <s v="Natalie Maxwell"/>
        <s v="Tina Blake"/>
        <s v="Clarence Cooke"/>
        <s v="Tamara Guzman"/>
        <s v="Marissa Hartman"/>
        <s v="Sara Garcia"/>
        <s v="Kathryn Rogers"/>
        <s v="Kyle Dickson"/>
        <s v="Jacob Decker"/>
        <s v="Aaron Johnson"/>
        <s v="William Morse"/>
        <s v="Carrie Smith"/>
        <s v="Vincent Roth"/>
        <s v="Andrew Benson"/>
        <s v="Jason Wilson"/>
        <s v="Colin Patterson"/>
        <s v="Eric Bates"/>
        <s v="Steven Keith"/>
        <s v="Seth Rodriguez"/>
        <s v="Lauren Jones"/>
        <s v="Thomas Wallace"/>
        <s v="Mr. Daniel Wilson"/>
        <s v="Julie Smith Md"/>
        <s v="Carol Mitchell"/>
        <s v="John Thompson"/>
        <s v="Debra Rodriguez"/>
        <s v="Erin Vasquez"/>
        <s v="Clayton Lara"/>
        <s v="Tony Ray"/>
        <s v="Steven Frey"/>
        <s v="Stephanie Leonard"/>
        <s v="Crystal Chambers"/>
        <s v="Robert White"/>
        <s v="Sylvia Barron"/>
        <s v="Marcus Brown"/>
        <s v="Annette Pierce"/>
        <s v="Donald Hernandez"/>
        <s v="Megan Davis"/>
        <s v="Robert Brooks"/>
        <s v="Miguel Alvarez"/>
        <s v="Jennifer Arnold"/>
        <s v="Jessica Blankenship"/>
        <s v="Peggy Campos"/>
        <s v="Craig Ortega"/>
        <s v="Johnny Simon"/>
        <s v="Keith Brooks"/>
        <s v="Jason Martinez"/>
        <s v="Steven Herrera"/>
        <s v="Beverly Lamb"/>
        <s v="Michael Williams"/>
        <s v="Zachary Carpenter"/>
        <s v="Timothy Baker"/>
        <s v="Adam James"/>
        <s v="Katrina Wood"/>
        <s v="James Murray"/>
        <s v="Mr. Nathaniel Reeves"/>
        <s v="Jodi Wood"/>
        <s v="Dr. Thomas Peterson"/>
        <s v="Mario Hall"/>
        <s v="Justin Rosales"/>
        <s v="Autumn Lee"/>
        <s v="Victoria Duran"/>
        <s v="Barry Garcia"/>
        <s v="Dawn Webb"/>
        <s v="Patricia Sanford"/>
        <s v="William Walters"/>
        <s v="Emma Scott"/>
        <s v="Sabrina Buckley"/>
        <s v="Robert Rojas"/>
        <s v="Eric Johnson"/>
        <s v="Heather Parker"/>
        <s v="Thomas Matthews"/>
        <s v="Kimberly Beard"/>
        <s v="Lydia Donovan"/>
        <s v="Edward Johnson"/>
        <s v="Ricky Smith"/>
        <s v="Mr. Ralph Garcia Jr."/>
        <s v="Malik Walker"/>
        <s v="Tanya Walker"/>
        <s v="Sherri Ferguson Dvm"/>
        <s v="Kristin Hart"/>
        <s v="Jim Johnson"/>
        <s v="David Hamilton"/>
        <s v="Michael Jimenez"/>
        <s v="Angela Norman"/>
        <s v="Denise Mcdaniel"/>
        <s v="Matthew Huff"/>
        <s v="Linda Little"/>
        <s v="Kerri Andrews"/>
        <s v="Jeffrey Johnson Iii"/>
        <s v="Daniel Dixon"/>
        <s v="Tiffany Robinson"/>
        <s v="Mr. Gregg Sawyer"/>
        <s v="John Silva"/>
        <s v="Nathan Moss"/>
        <s v="Donald Medina"/>
        <s v="Charles Henderson"/>
        <s v="Brenda Davis"/>
        <s v="Leah Calderon"/>
        <s v="Brandi Vasquez"/>
        <s v="Debra Richards"/>
        <s v="Tammy Day"/>
        <s v="Sheila Clay"/>
        <s v="Nicholas Flores"/>
        <s v="Jasmin Jones"/>
        <s v="Matthew Gardner"/>
        <s v="Joseph Perkins"/>
        <s v="Ashley Adams Md"/>
        <s v="Cheryl Stevens"/>
        <s v="Jorge George"/>
        <s v="Ann Mooney"/>
        <s v="James Mendoza"/>
        <s v="Kaitlin Garrison"/>
        <s v="Jeremy Jackson"/>
        <s v="Dale Craig"/>
        <s v="Joseph Hooper"/>
        <s v="Alexander Adams"/>
        <s v="Ashlee Mills"/>
        <s v="Brittany Jenkins"/>
        <s v="Eddie Gonzales"/>
        <s v="Edward Valencia"/>
        <s v="Emma Bruce"/>
        <s v="Carl Wade Dds"/>
        <s v="Brandon Alvarado"/>
        <s v="Jennifer Clark"/>
        <s v="David Johnson"/>
        <s v="April Marquez"/>
        <s v="Joseph Guerrero"/>
        <s v="Michael Hanson"/>
        <s v="William Hill"/>
        <s v="Kelsey Huber"/>
        <s v="Hailey Chandler"/>
        <s v="Cheyenne Rose"/>
        <s v="Richard Petersen"/>
        <s v="Kathryn Gray"/>
        <s v="Victor Collins"/>
        <s v="Jason Hernandez"/>
        <s v="Jacob Torres"/>
        <s v="Erin Hernandez"/>
        <s v="Jacob Guzman"/>
        <s v="Mike Armstrong"/>
        <s v="Cindy Rowland"/>
        <s v="Kenneth Matthews"/>
        <s v="Susan Valdez"/>
        <s v="Stephanie Manning"/>
        <s v="Logan Galloway"/>
        <s v="Christopher Stone"/>
        <s v="Megan Pitts"/>
        <s v="Richard Gardner"/>
        <s v="Samuel Moore"/>
        <s v="Robert Stokes"/>
        <s v="Danielle Ramirez"/>
        <s v="Taylor White"/>
        <s v="Jordan Krause"/>
        <s v="Kimberly King"/>
        <s v="Sharon Russell"/>
        <s v="Kevin Cooper"/>
        <s v="Darrell Ramos"/>
        <s v="Dr. Terry Alvarado"/>
        <s v="Kathy Wilson"/>
        <s v="Brandon Le"/>
        <s v="Mary Wright"/>
        <s v="Douglas Reynolds"/>
        <s v="Leroy Harris"/>
        <s v="Ricardo Dixon"/>
        <s v="Debra Smith"/>
        <s v="Jasmine James"/>
        <s v="Felicia Morton"/>
        <s v="Sylvia Jenkins"/>
        <s v="Elizabeth White"/>
        <s v="Steven Steele"/>
        <s v="Amanda Ramirez"/>
        <s v="Kyle Jackson"/>
        <s v="Sharon Wilkins"/>
        <s v="Austin Hammond"/>
        <s v="Jessica Barajas"/>
        <s v="Jamie Jimenez"/>
        <s v="James Carter"/>
        <s v="John Williams"/>
        <s v="Alicia Oneill"/>
        <s v="Rebecca Huff"/>
        <s v="Diana Scott"/>
        <s v="Brian Young"/>
        <s v="Susan Wright"/>
        <s v="Kayla Banks"/>
        <s v="Zachary Pierce"/>
        <s v="Nicolas Owen"/>
        <s v="Martha Carney"/>
        <s v="Francisco Hicks"/>
        <s v="Matthew Parker"/>
        <s v="Paul Bryant"/>
        <s v="Bruce Dennis"/>
        <s v="Joseph Bates"/>
        <s v="Kelly Pacheco"/>
        <s v="Jeffrey Weber"/>
        <s v="Andrew Krueger"/>
        <s v="Kathleen Cox"/>
        <s v="Jamie Bradley"/>
        <s v="Robert Martinez"/>
        <s v="Christopher Rogers"/>
        <s v="Roberto Parrish"/>
        <s v="Amber Kennedy"/>
        <s v="Maria Davis"/>
        <s v="Terry Gilbert"/>
        <s v="Devon Schmitt"/>
        <s v="Robert Mosley"/>
        <s v="Paul Scott"/>
        <s v="Kristin Alvarez"/>
        <s v="Kevin Jackson"/>
        <s v="Mrs. Lauren Potter Dds"/>
        <s v="Jason Brown"/>
        <s v="Jamie Santos"/>
        <s v="James Taylor"/>
        <s v="Alicia Vincent"/>
        <s v="Kenneth Adams"/>
        <s v="Shelby Browning"/>
        <s v="Johnny Hill"/>
        <s v="Nicholas Tucker"/>
        <s v="Theresa Cline"/>
        <s v="Christine Wheeler"/>
        <s v="Carlos Wells"/>
        <s v="Randall Bell"/>
        <s v="Kendra Mckinney"/>
        <s v="Amanda Kim"/>
        <s v="Megan Morgan"/>
        <s v="Vincent Kramer"/>
        <s v="Raymond Bean"/>
        <s v="Reginald Hebert"/>
        <s v="Jeremy Vazquez"/>
        <s v="Michael Stewart"/>
        <s v="Kevin Johnson"/>
        <s v="Tara Hughes"/>
        <s v="Sandra Perkins"/>
        <s v="Heather Bell"/>
        <s v="Nancy Boyd"/>
        <s v="Raymond Reyes"/>
        <s v="Cassandra Jordan"/>
        <s v="Evelyn Harris"/>
        <s v="Shannon Maynard"/>
        <s v="Marie James"/>
        <s v="Maria Carroll"/>
        <s v="Jessica Sloan"/>
        <s v="Scott Craig"/>
        <s v="Kaitlin Brown"/>
        <s v="William Beck"/>
        <s v="Eric Mason"/>
        <s v="Lisa Lowe"/>
        <s v="Roy Miller"/>
        <s v="Christopher Espinoza"/>
        <s v="Claire Cole"/>
        <s v="Eric Nunez"/>
        <s v="David Bell"/>
        <s v="Patrick Hensley Md"/>
        <s v="John Cox"/>
        <s v="Michelle Sullivan"/>
        <s v="Angela Todd"/>
        <s v="Luke Saunders"/>
        <s v="Dr. Jennifer Benton Dvm"/>
        <s v="Keith Smith"/>
        <s v="Danielle Mitchell"/>
        <s v="Jesus Hernandez"/>
        <s v="Jason Norman"/>
        <s v="Laura Poole"/>
        <s v="Sarah Wagner"/>
        <s v="Bryan Baird"/>
        <s v="Amy Thompson"/>
        <s v="Ashley Wright"/>
        <s v="Michelle Lynch"/>
        <s v="Ryan Hale"/>
        <s v="Marie Jefferson"/>
        <s v="Vanessa Smith"/>
        <s v="Ryan Foster"/>
        <s v="David Lara"/>
        <s v="Jonathan Young"/>
        <s v="Debra Townsend"/>
        <s v="John Thomas"/>
        <s v="Bryan Anderson"/>
        <s v="Sarah Miller"/>
        <s v="Robert Hill"/>
        <s v="Joshua Rojas"/>
        <s v="Angelica Lewis"/>
        <s v="Jessica Russell"/>
        <s v="Mary Johnson"/>
        <s v="Joseph Knight"/>
        <s v="Jessica Greene"/>
        <s v="Vincent Perez"/>
        <s v="Dennis Rivera"/>
        <s v="Nancy Keller"/>
        <s v="Michelle Anderson"/>
        <s v="Anthony May"/>
        <s v="Michelle Guerra"/>
        <s v="Meghan Ballard"/>
        <s v="Brian Wheeler"/>
        <s v="William Rosario"/>
        <s v="Jessica Hunt"/>
        <s v="Tony Chavez"/>
        <s v="Mary Crawford"/>
        <s v="Roger Morrison"/>
        <s v="Bethany Harrison"/>
        <s v="Lisa Mcintyre"/>
        <s v="Carolyn Gonzalez"/>
        <s v="Christina Oconnell"/>
        <s v="James Garcia"/>
        <s v="Emily Frederick"/>
        <s v="Shawn Wise"/>
        <s v="Carrie Alvarez"/>
        <s v="Matthew James"/>
        <s v="Jerry Alvarado"/>
        <s v="Paul Zimmerman"/>
        <s v="Carl Ryan"/>
        <s v="Kelly Roberts"/>
        <s v="Jack Woods"/>
        <s v="Albert Alexander Jr."/>
        <s v="Teresa Perez"/>
        <s v="Amanda Williams"/>
        <s v="Kristen Lawson"/>
        <s v="Jacob Stewart"/>
        <s v="Daniel Brooks"/>
        <s v="Aaron Dunn"/>
        <s v="Jacob Martinez"/>
        <s v="Raymond Burgess"/>
        <s v="Jennifer Cooke"/>
        <s v="Tyrone White"/>
        <s v="Charles Williams"/>
        <s v="Amy Page"/>
        <s v="Scott Gibbs"/>
        <s v="Angela Roberts"/>
        <s v="Kyle Hernandez"/>
        <s v="Cynthia Ferguson"/>
        <s v="Brandi Garcia"/>
        <s v="Matthew Blake"/>
        <s v="Lauren Howell"/>
        <s v="Joseph Wilson"/>
        <s v="Tanner Vance"/>
        <s v="Michael Nash"/>
        <s v="Brent Thomas"/>
        <s v="Harold Mitchell"/>
        <s v="Ashley Palmer"/>
        <s v="Stephen Hogan"/>
        <s v="George Ashley"/>
        <s v="Sara Bailey"/>
        <s v="Tanya Thomas Md"/>
        <s v="Maria Galvan"/>
        <s v="Duane Kelly"/>
        <s v="Frank Reynolds"/>
        <s v="Aaron Kim"/>
        <s v="David Allen"/>
        <s v="Monica Lee"/>
        <s v="Erica Scott"/>
        <s v="Melissa Mitchell"/>
        <s v="Joshua Murray"/>
        <s v="John Jones"/>
        <s v="Cheryl Johnson"/>
        <s v="Lisa Farmer"/>
        <s v="Christopher Walker"/>
        <s v="Elizabeth Coffey"/>
        <s v="Joseph Clark"/>
        <s v="Jamie Brewer"/>
        <s v="Lauren Boyer"/>
        <s v="Howard Esparza"/>
        <s v="James Hickman"/>
        <s v="Jennifer Hernandez"/>
        <s v="Shannon Warren"/>
        <s v="Ashley Aguilar"/>
        <s v="Daniel Price"/>
        <s v="James Perez"/>
        <s v="Jerry Smith"/>
        <s v="Andre Fernandez"/>
        <s v="Anthony West"/>
        <s v="Amber Flowers"/>
        <s v="Patricia Davis"/>
        <s v="Jasmine Gibbs"/>
        <s v="Nicole Dudley"/>
        <s v="Lori Colon"/>
        <s v="William Carr"/>
        <s v="Jeffrey Dixon"/>
        <s v="Robert Sexton"/>
        <s v="Brooke Gonzalez"/>
        <s v="Victoria Bryant Md"/>
        <s v="Nancy Kennedy"/>
        <s v="Andrew Barry"/>
        <s v="Carlos Wheeler"/>
        <s v="Isabella Roach"/>
        <s v="Samantha Williams"/>
        <s v="Samuel Little Md"/>
        <s v="Paul Taylor"/>
        <s v="Susan Baker"/>
        <s v="Mark Fry"/>
        <s v="Megan Mclean"/>
        <s v="Caitlin Hunt"/>
        <s v="Jenna Holland"/>
        <s v="Stephanie Oconnell"/>
        <s v="Andrea Hill"/>
      </sharedItems>
    </cacheField>
    <cacheField name="State" numFmtId="0">
      <sharedItems>
        <s v="Florida"/>
        <s v="Illinois"/>
        <s v="New York"/>
        <s v="California"/>
        <s v="Texas"/>
        <s v="Ohio"/>
      </sharedItems>
    </cacheField>
    <cacheField name="City" numFmtId="0">
      <sharedItems>
        <s v="Miami"/>
        <s v="Chicago"/>
        <s v="Buffalo"/>
        <s v="Orlando"/>
        <s v="Los Angeles"/>
        <s v="New York City"/>
        <s v="Springfield"/>
        <s v="Rochester"/>
        <s v="Dallas"/>
        <s v="San Diego"/>
        <s v="Austin"/>
        <s v="San Francisco"/>
        <s v="Columbus"/>
        <s v="Cincinnati"/>
        <s v="Cleveland"/>
        <s v="Houston"/>
        <s v="Tampa"/>
        <s v="Peoria"/>
      </sharedItems>
    </cacheField>
    <cacheField name="Year-Month" numFmtId="0">
      <sharedItems>
        <s v="2023-06"/>
        <s v="2024-12"/>
        <s v="2021-07"/>
        <s v="2024-05"/>
        <s v="2021-10"/>
        <s v="2022-11"/>
        <s v="2023-11"/>
        <s v="2020-03"/>
        <s v="2020-05"/>
        <s v="2025-02"/>
        <s v="2024-01"/>
        <s v="2020-11"/>
        <s v="2022-01"/>
        <s v="2021-12"/>
        <s v="2023-02"/>
        <s v="2022-10"/>
        <s v="2023-12"/>
        <s v="2023-07"/>
        <s v="2021-05"/>
        <s v="2024-08"/>
        <s v="2020-10"/>
        <s v="2023-08"/>
        <s v="2021-06"/>
        <s v="2023-05"/>
        <s v="2022-09"/>
        <s v="2022-03"/>
        <s v="2022-02"/>
        <s v="2021-04"/>
        <s v="2023-04"/>
        <s v="2022-12"/>
        <s v="2025-03"/>
        <s v="2024-09"/>
        <s v="2020-04"/>
        <s v="2022-06"/>
        <s v="2021-03"/>
        <s v="2021-11"/>
        <s v="2021-08"/>
        <s v="2022-05"/>
        <s v="2020-08"/>
        <s v="2022-04"/>
        <s v="2022-08"/>
        <s v="2024-07"/>
        <s v="2024-02"/>
        <s v="2021-09"/>
        <s v="2024-04"/>
        <s v="2023-03"/>
        <s v="2024-11"/>
        <s v="2024-06"/>
        <s v="2023-09"/>
        <s v="2021-01"/>
        <s v="2020-12"/>
        <s v="2021-02"/>
        <s v="2025-01"/>
        <s v="2020-06"/>
        <s v="2023-01"/>
        <s v="2024-03"/>
        <s v="2024-10"/>
        <s v="2020-09"/>
        <s v="2022-07"/>
        <s v="2023-10"/>
        <s v="2020-07"/>
      </sharedItems>
    </cacheField>
    <cacheField name="Year" numFmtId="166">
      <sharedItems containsSemiMixedTypes="0" containsString="0" containsNumber="1" containsInteger="1">
        <n v="2023.0"/>
        <n v="2024.0"/>
        <n v="2021.0"/>
        <n v="2022.0"/>
        <n v="2020.0"/>
        <n v="2025.0"/>
      </sharedItems>
    </cacheField>
    <cacheField name="Month" numFmtId="0">
      <sharedItems>
        <s v="June"/>
        <s v="December"/>
        <s v="July"/>
        <s v="May"/>
        <s v="October"/>
        <s v="November"/>
        <s v="March"/>
        <s v="February"/>
        <s v="January"/>
        <s v="August"/>
        <s v="September"/>
        <s v="April"/>
      </sharedItems>
    </cacheField>
    <cacheField name="Quarter" numFmtId="1">
      <sharedItems containsSemiMixedTypes="0" containsString="0" containsNumber="1" containsInteger="1">
        <n v="2.0"/>
        <n v="4.0"/>
        <n v="3.0"/>
        <n v="1.0"/>
      </sharedItems>
    </cacheField>
    <cacheField name="Profit Margin" numFmtId="10">
      <sharedItems containsSemiMixedTypes="0" containsString="0" containsNumber="1">
        <n v="0.1310919185687847"/>
        <n v="0.26733668341708544"/>
        <n v="0.12131147540983607"/>
        <n v="0.13250283125707815"/>
        <n v="0.4369385997292974"/>
        <n v="0.2917329093799682"/>
        <n v="0.15529411764705883"/>
        <n v="0.4104510290468545"/>
        <n v="0.13716233936532915"/>
        <n v="0.07624633431085044"/>
        <n v="0.1444736842105263"/>
        <n v="0.0349286761765098"/>
        <n v="0.18344827586206897"/>
        <n v="0.37286487987779476"/>
        <n v="0.16267648864333947"/>
        <n v="0.33117824099877385"/>
        <n v="0.3041850969717591"/>
        <n v="0.044136460554371"/>
        <n v="0.1921009581677962"/>
        <n v="0.01764705882352941"/>
        <n v="0.43295292439372324"/>
        <n v="0.2260969534393562"/>
        <n v="0.20618556701030927"/>
        <n v="0.26567411083540116"/>
        <n v="0.0593338331369819"/>
        <n v="0.4561836583559615"/>
        <n v="0.1728197964478148"/>
        <n v="0.15917129863567459"/>
        <n v="0.3074712643678161"/>
        <n v="0.3773124357656732"/>
        <n v="0.30334466106242175"/>
        <n v="0.4711050370948848"/>
        <n v="0.3173761003255758"/>
        <n v="0.07160321341250436"/>
        <n v="0.18543689320388348"/>
        <n v="0.10471961169059175"/>
        <n v="0.2630937880633374"/>
        <n v="0.19690180514658814"/>
        <n v="0.07346473366997883"/>
        <n v="0.3696155627605373"/>
        <n v="0.3856724487497184"/>
        <n v="0.16929133858267717"/>
        <n v="0.35696948682385576"/>
        <n v="0.12407559572719803"/>
        <n v="0.09758656873032528"/>
        <n v="0.14058463630183549"/>
        <n v="0.13456321215409658"/>
        <n v="0.2252027448533999"/>
        <n v="0.2607407407407407"/>
        <n v="0.024558823529411765"/>
        <n v="0.04884547069271759"/>
        <n v="0.46568432231514667"/>
        <n v="0.24883819180397126"/>
        <n v="0.28841433480608736"/>
        <n v="0.207369323050557"/>
        <n v="0.4505454545454545"/>
        <n v="0.3593008450052089"/>
        <n v="0.3130252100840336"/>
        <n v="0.2724111282843895"/>
        <n v="0.4569453174104337"/>
        <n v="0.35401252134319866"/>
        <n v="0.03645533141210375"/>
        <n v="0.0910871694417238"/>
        <n v="0.04965937612047329"/>
        <n v="0.37480857580398164"/>
        <n v="0.3600559776089564"/>
        <n v="0.22669376693766938"/>
        <n v="0.378275181040158"/>
        <n v="0.150460593654043"/>
        <n v="0.18164435946462715"/>
        <n v="0.12517531556802244"/>
        <n v="0.11481186768216438"/>
        <n v="0.3138804677349502"/>
        <n v="0.06433197936107146"/>
        <n v="0.12069756769160166"/>
        <n v="0.12772875058058522"/>
        <n v="0.03712671509281679"/>
        <n v="0.36989591673338673"/>
        <n v="0.3555463145857158"/>
        <n v="0.3310966659677081"/>
        <n v="0.13580520199225235"/>
        <n v="0.2496274217585693"/>
        <n v="0.17883211678832117"/>
        <n v="0.24059609455292907"/>
        <n v="0.0950463149416029"/>
        <n v="0.4626060138781804"/>
        <n v="0.24554305221899103"/>
        <n v="0.46253071253071254"/>
        <n v="0.18800322061191627"/>
        <n v="0.08607741190063548"/>
        <n v="0.34051849694145064"/>
        <n v="0.3833290455364034"/>
        <n v="0.3559133814547474"/>
        <n v="0.15412186379928317"/>
        <n v="0.44596912521440824"/>
        <n v="0.44148936170212766"/>
        <n v="0.10210035005834306"/>
        <n v="0.3368406479302229"/>
        <n v="0.17341195389975878"/>
        <n v="0.4943277546894305"/>
        <n v="0.3506407056082543"/>
        <n v="0.08047585724282715"/>
        <n v="0.06422018348623854"/>
        <n v="0.10023947998631542"/>
        <n v="0.2790368271954674"/>
        <n v="0.2614133197763091"/>
        <n v="0.31534413373232895"/>
        <n v="0.1560184002044467"/>
        <n v="0.312987012987013"/>
        <n v="0.1614957049014654"/>
        <n v="0.24259628663495472"/>
        <n v="0.2993138936535163"/>
        <n v="0.08075356415478616"/>
        <n v="0.30643466074973724"/>
        <n v="0.0632740373789687"/>
        <n v="0.30940054495912805"/>
        <n v="0.2958471150312385"/>
        <n v="0.20633245382585752"/>
        <n v="0.060492203644561336"/>
        <n v="0.03152542372881356"/>
        <n v="0.14607130494980963"/>
        <n v="0.015210777922642329"/>
        <n v="0.34231775275787557"/>
        <n v="0.48689669128807045"/>
        <n v="0.22744721689059502"/>
        <n v="0.23810856183547846"/>
        <n v="0.13194444444444445"/>
        <n v="0.2456989247311828"/>
        <n v="0.4782608695652174"/>
        <n v="0.42370167009837567"/>
        <n v="0.1409058231488138"/>
        <n v="0.18092634287552267"/>
        <n v="0.04896458293013354"/>
        <n v="0.44265809217577706"/>
        <n v="0.3181818181818182"/>
        <n v="0.15752032520325204"/>
        <n v="0.24377616215025336"/>
        <n v="0.44560913114372236"/>
        <n v="0.4380820289280761"/>
        <n v="0.04457205359584359"/>
        <n v="0.4391902333487869"/>
        <n v="0.3171759747102213"/>
        <n v="0.11300014656309541"/>
        <n v="0.19042163153070576"/>
        <n v="0.41927746964473095"/>
        <n v="0.1387847965738758"/>
        <n v="0.18914956011730205"/>
        <n v="0.4821497615672123"/>
        <n v="0.4596463236271772"/>
        <n v="0.44713520197856554"/>
        <n v="0.4761519805982215"/>
        <n v="0.051903651903651905"/>
        <n v="0.3043652784746613"/>
        <n v="0.15364412344057782"/>
        <n v="0.04673206216246004"/>
        <n v="0.47758647432914536"/>
        <n v="0.31373644797138706"/>
        <n v="0.437636761487965"/>
        <n v="0.43023255813953487"/>
        <n v="0.41645523740485685"/>
        <n v="0.45861297539149887"/>
        <n v="0.27093696071464823"/>
        <n v="0.393432776053659"/>
        <n v="0.12909311413556124"/>
        <n v="0.15456598902871893"/>
        <n v="0.3593811979373265"/>
        <n v="0.4925308819304797"/>
        <n v="0.27741935483870966"/>
        <n v="0.4634146341463415"/>
        <n v="0.17715959004392387"/>
        <n v="0.10210803689064558"/>
        <n v="0.4962862930452397"/>
        <n v="0.10068714065348479"/>
        <n v="0.20357142857142857"/>
        <n v="0.2633973710819009"/>
        <n v="0.11921510551647538"/>
        <n v="0.37151106833493747"/>
        <n v="0.2835699797160243"/>
        <n v="0.31244610520264443"/>
        <n v="0.32343778632948506"/>
        <n v="0.23239862820254187"/>
        <n v="0.19482288828337874"/>
        <n v="0.28817228805834094"/>
        <n v="0.15069211409395974"/>
        <n v="0.2647191011235955"/>
        <n v="0.42249843325673697"/>
        <n v="0.10999543587403013"/>
        <n v="0.031341463414634146"/>
        <n v="0.32234864748819236"/>
        <n v="0.49035899043737263"/>
        <n v="0.16965352449223417"/>
        <n v="0.22809394760614274"/>
        <n v="0.35170454545454544"/>
        <n v="0.1552511415525114"/>
        <n v="0.42922899884925203"/>
        <n v="0.07671601615074024"/>
        <n v="0.048349449816605536"/>
        <n v="0.37261765849863865"/>
        <n v="0.46408393866020986"/>
        <n v="0.4080824088748019"/>
        <n v="0.24588576960309777"/>
        <n v="0.10474308300395258"/>
        <n v="0.2848152895932875"/>
        <n v="0.3967437874892888"/>
        <n v="0.2826469552974305"/>
        <n v="0.3801056338028169"/>
        <n v="0.2903461725987323"/>
        <n v="0.31719298245614036"/>
        <n v="0.4310915104740904"/>
        <n v="0.12189512419503219"/>
        <n v="0.23756000468329236"/>
        <n v="0.2853443811496634"/>
        <n v="0.2654176424668228"/>
        <n v="0.10524126455906822"/>
        <n v="0.0924964605946201"/>
        <n v="0.18202103920943577"/>
        <n v="0.31295738269479123"/>
        <n v="0.29678362573099415"/>
        <n v="0.3573446327683616"/>
        <n v="0.3737618758843744"/>
        <n v="0.267380683953401"/>
        <n v="0.20967741935483872"/>
        <n v="0.11177382798520816"/>
        <n v="0.1085978835978836"/>
        <n v="0.3729071537290715"/>
        <n v="0.0407744874715262"/>
        <n v="0.050434782608695654"/>
        <n v="0.1639135959339263"/>
        <n v="0.056433007985803016"/>
        <n v="0.14750575594781273"/>
        <n v="0.17384240454914704"/>
        <n v="0.3670004353504571"/>
        <n v="0.3067517278043594"/>
        <n v="0.26573426573426573"/>
        <n v="0.10249110320284698"/>
        <n v="0.3504823151125402"/>
        <n v="0.28205128205128205"/>
        <n v="0.4860349127182045"/>
        <n v="0.21491885994817947"/>
        <n v="0.14746423927178154"/>
        <n v="0.26973684210526316"/>
        <n v="0.3203152991759226"/>
        <n v="0.23750602603246024"/>
        <n v="0.3489880353348988"/>
        <n v="0.030937215650591446"/>
        <n v="0.22682175846732808"/>
        <n v="0.20845754664900076"/>
        <n v="0.4771270396270396"/>
        <n v="0.08793478260869565"/>
        <n v="0.4102731882872567"/>
        <n v="0.36001551791025477"/>
        <n v="0.018066635382449556"/>
        <n v="0.3788588976887021"/>
        <n v="0.03391384051329056"/>
        <n v="0.38858695652173914"/>
        <n v="0.06390711761736496"/>
        <n v="0.4897713598074609"/>
        <n v="0.0977764240024368"/>
        <n v="0.23488168273444346"/>
        <n v="0.029487179487179487"/>
        <n v="0.2823295985060691"/>
        <n v="0.02162656107219007"/>
        <n v="0.48671987439487113"/>
        <n v="0.444091303091592"/>
        <n v="0.25166258312915646"/>
        <n v="0.37814689852063327"/>
        <n v="0.07164228723404255"/>
        <n v="0.15813953488372093"/>
        <n v="0.3705405996935872"/>
        <n v="0.3733376581252027"/>
        <n v="0.25496876774559907"/>
        <n v="0.4933570743733735"/>
        <n v="0.027117884356790675"/>
        <n v="0.3028010302640052"/>
        <n v="0.34417680655574867"/>
        <n v="0.19689737470167065"/>
        <n v="0.28851540616246496"/>
        <n v="0.31952449567723346"/>
        <n v="0.15057261842790212"/>
        <n v="0.41577896138482023"/>
        <n v="0.35375816993464054"/>
        <n v="0.46422388920946334"/>
        <n v="0.22018585441404234"/>
        <n v="0.4330042313117066"/>
        <n v="0.06451612903225806"/>
        <n v="0.3041970169961845"/>
        <n v="0.012686020980727006"/>
        <n v="0.12760929499803073"/>
        <n v="0.31102082275266635"/>
        <n v="0.48638400551533956"/>
        <n v="0.16613787135852323"/>
        <n v="0.27033195020746886"/>
        <n v="0.2498108448928121"/>
        <n v="0.08378815443703254"/>
        <n v="0.4929422143802382"/>
        <n v="0.037874160048869884"/>
        <n v="0.3559322033898305"/>
        <n v="0.35881322756773465"/>
        <n v="0.3032507921605445"/>
        <n v="0.40613889547286086"/>
        <n v="0.0645352279455299"/>
        <n v="0.41310975609756095"/>
        <n v="0.22873173277661796"/>
        <n v="0.3578363384188627"/>
        <n v="0.36525585844093733"/>
        <n v="0.3861291555215896"/>
        <n v="0.39528397565922924"/>
        <n v="0.15571449858441366"/>
        <n v="0.1419200954084675"/>
        <n v="0.39221604447974584"/>
        <n v="0.4258338512533665"/>
        <n v="0.3422236503856041"/>
        <n v="0.1457004337841286"/>
        <n v="0.3382795698924731"/>
        <n v="0.07674552798615118"/>
        <n v="0.26887871853546913"/>
        <n v="0.46794871794871795"/>
        <n v="0.041973289724720635"/>
        <n v="0.21206225680933852"/>
        <n v="0.025970058050717997"/>
        <n v="0.39880834160873885"/>
        <n v="0.007790184367696702"/>
        <n v="0.44981788749494134"/>
        <n v="0.03145219266714594"/>
        <n v="0.44927902858588414"/>
        <n v="0.24522194821208385"/>
        <n v="0.47085030549898166"/>
        <n v="0.04377682403433476"/>
        <n v="0.2722139356488387"/>
        <n v="0.0358948432760364"/>
        <n v="0.40750503954101414"/>
        <n v="0.06986410871302957"/>
        <n v="0.3229018492176387"/>
        <n v="0.15521097360966155"/>
        <n v="0.024105856150923623"/>
        <n v="0.22974358974358974"/>
        <n v="0.3227960819234194"/>
        <n v="0.3561643835616438"/>
        <n v="0.1987362413371382"/>
        <n v="0.18129079042784627"/>
        <n v="0.08011310084825636"/>
        <n v="0.39468787007274575"/>
        <n v="0.40594059405940597"/>
        <n v="0.4532710280373832"/>
        <n v="0.3842696629213483"/>
        <n v="0.15072202166064982"/>
        <n v="0.38359247135842883"/>
        <n v="0.13457943925233645"/>
        <n v="0.45782654680063456"/>
        <n v="0.4708125550014667"/>
        <n v="0.2521792636652651"/>
        <n v="0.4159749412685983"/>
        <n v="0.21007081038552322"/>
        <n v="0.043378066964890875"/>
        <n v="0.18062317429406036"/>
        <n v="0.042550353474723225"/>
        <n v="0.38323586744639376"/>
        <n v="0.3073248407643312"/>
        <n v="0.16329006429697926"/>
        <n v="0.1800564681724846"/>
        <n v="0.16538789428815004"/>
        <n v="0.1419820310372992"/>
        <n v="0.42292732855680654"/>
        <n v="0.09513859869062544"/>
        <n v="0.4384290695540466"/>
        <n v="0.03592400690846287"/>
        <n v="0.16642754662840745"/>
        <n v="0.23010577705451588"/>
        <n v="0.1757188498402556"/>
        <n v="0.0441741357234315"/>
        <n v="0.1768099221228728"/>
        <n v="0.27867682056163734"/>
        <n v="0.3698079499776686"/>
        <n v="0.4089795918367347"/>
        <n v="0.4282079983718327"/>
        <n v="0.02971400272378358"/>
        <n v="0.3969332298136646"/>
        <n v="0.07474429583005507"/>
        <n v="0.22216736608244878"/>
        <n v="0.3939393939393939"/>
        <n v="0.3743548387096774"/>
        <n v="0.09239373601789709"/>
        <n v="0.3951965065502183"/>
        <n v="0.2592274678111588"/>
        <n v="0.0862860056079531"/>
        <n v="0.1270681667769689"/>
        <n v="0.21097607292062287"/>
        <n v="0.3634865031939007"/>
        <n v="0.1291700569568755"/>
        <n v="0.1922110552763819"/>
        <n v="0.1438278595696489"/>
        <n v="0.25446133509583607"/>
        <n v="0.23045863961072574"/>
        <n v="0.03398870529177996"/>
        <n v="0.3927047781569966"/>
        <n v="0.0610126582278481"/>
        <n v="0.46748959379933974"/>
        <n v="0.2538955087076077"/>
        <n v="0.2538576406172225"/>
        <n v="0.04492992580379225"/>
        <n v="0.33681038479369496"/>
        <n v="0.4492092457420925"/>
        <n v="0.20442544631631884"/>
        <n v="0.22024952015355087"/>
        <n v="0.35810215763980624"/>
        <n v="0.16466533244385145"/>
        <n v="0.16161616161616163"/>
        <n v="0.14962630792227205"/>
        <n v="0.38515546639919757"/>
        <n v="0.4150174621653085"/>
        <n v="0.4356804818585974"/>
        <n v="0.4227837072533217"/>
        <n v="0.26758218893050356"/>
        <n v="0.1225903050720569"/>
        <n v="0.045715928694652096"/>
        <n v="0.45326045985676594"/>
        <n v="0.04987753284346471"/>
        <n v="0.11645254869457107"/>
        <n v="0.10905349794238683"/>
        <n v="0.21882673942701228"/>
        <n v="0.2158442088091354"/>
        <n v="0.06443071491615181"/>
        <n v="0.18693982074263765"/>
        <n v="0.4823508648076244"/>
        <n v="0.347638456005754"/>
        <n v="0.4552597819114817"/>
        <n v="0.45397412199630316"/>
        <n v="0.44742063492063494"/>
        <n v="0.38350820554210385"/>
        <n v="0.07042839317898239"/>
        <n v="0.1845088161209068"/>
        <n v="0.24278215223097113"/>
        <n v="0.208634828750603"/>
        <n v="0.23068810967571843"/>
        <n v="0.3326823824801228"/>
        <n v="0.10306475531389027"/>
        <n v="0.21733909702209414"/>
        <n v="0.4074967526442754"/>
        <n v="0.4045521292217327"/>
        <n v="0.31227217496962334"/>
        <n v="0.46859903381642515"/>
        <n v="0.3837938633666723"/>
        <n v="0.4976264527745949"/>
        <n v="0.3221694036300778"/>
        <n v="0.13366903181506065"/>
        <n v="0.4186789772727273"/>
        <n v="0.05346455645697566"/>
        <n v="0.4309462915601023"/>
        <n v="0.3338088445078459"/>
        <n v="0.2175786299009048"/>
        <n v="0.08411867364746946"/>
        <n v="0.1165165972315549"/>
        <n v="0.44226327944572746"/>
        <n v="0.4487938097405553"/>
        <n v="0.3233890214797136"/>
        <n v="0.1954151523623148"/>
        <n v="0.2577927548441449"/>
        <n v="0.35430599153814657"/>
        <n v="0.4886109870477892"/>
        <n v="0.233779399837794"/>
        <n v="0.2351920156216099"/>
        <n v="0.3384879725085911"/>
        <n v="0.20236586396282213"/>
        <n v="0.24855907780979827"/>
        <n v="0.19146697837521917"/>
        <n v="0.08089539007092199"/>
        <n v="0.1693679092382496"/>
        <n v="0.19082432718796355"/>
        <n v="0.14115456238361265"/>
        <n v="0.46409842678499397"/>
        <n v="0.008085381630012937"/>
        <n v="0.4694371152154793"/>
        <n v="0.231410701876303"/>
        <n v="0.3089089735313105"/>
        <n v="0.22025129342202512"/>
        <n v="0.4910522548317824"/>
        <n v="0.05948916909149693"/>
        <n v="0.38636363636363635"/>
        <n v="0.1353238265002971"/>
        <n v="0.3132369299221357"/>
        <n v="0.25598259608411894"/>
        <n v="0.19318054779206262"/>
        <n v="0.050162216121786875"/>
        <n v="0.2851851851851852"/>
        <n v="0.21156400040862192"/>
        <n v="0.44316827391916785"/>
        <n v="0.4874094091634934"/>
        <n v="0.2352389878163074"/>
        <n v="0.36858556915863505"/>
        <n v="0.16864940517844645"/>
        <n v="0.2985493682732803"/>
        <n v="0.4553161427057577"/>
        <n v="0.24559161768464094"/>
        <n v="0.4341987466427932"/>
        <n v="0.3812539582013933"/>
        <n v="0.49175531914893617"/>
        <n v="0.3559614059269469"/>
        <n v="0.14783347493627869"/>
        <n v="0.3871924836197305"/>
        <n v="0.12321493958257049"/>
        <n v="0.06946182728410513"/>
        <n v="0.1980243510222835"/>
        <n v="0.13580246913580246"/>
        <n v="0.47226277372262776"/>
        <n v="0.11727616645649433"/>
        <n v="0.2777551850345669"/>
        <n v="0.2203626220362622"/>
        <n v="0.3484251968503937"/>
        <n v="0.11564698358558943"/>
        <n v="0.1166936790923825"/>
        <n v="0.02403304543747653"/>
        <n v="0.326150262085032"/>
        <n v="0.03778838504375497"/>
        <n v="0.4855604503181596"/>
        <n v="0.3783845278725825"/>
        <n v="0.4898943074355646"/>
        <n v="0.22324561403508772"/>
        <n v="0.2181625227410552"/>
        <n v="0.4203991130820399"/>
        <n v="0.39131150238604573"/>
        <n v="0.466629485034393"/>
        <n v="0.3586087707928278"/>
        <n v="0.2047970479704797"/>
        <n v="0.31575682382133996"/>
        <n v="0.11638895797065407"/>
        <n v="0.03816022239070003"/>
        <n v="0.36241304595734974"/>
        <n v="0.3101115995941833"/>
        <n v="0.4878368263473054"/>
        <n v="0.349942253753506"/>
        <n v="0.3586309523809524"/>
        <n v="0.36103151862464183"/>
        <n v="0.08457880434782608"/>
        <n v="0.22393364928909953"/>
        <n v="0.19985925404644617"/>
        <n v="0.17400827451934778"/>
        <n v="0.44240400667779634"/>
        <n v="0.19911991199119913"/>
        <n v="0.23368095789880264"/>
        <n v="0.2913135593220339"/>
        <n v="0.30840429470566455"/>
        <n v="0.1713455953533398"/>
        <n v="0.4922887106724244"/>
        <n v="0.15867158671586715"/>
        <n v="0.4476330358151621"/>
        <n v="0.34039256198347106"/>
        <n v="0.4329239489844119"/>
        <n v="0.07070479621706822"/>
        <n v="0.40365448504983387"/>
        <n v="0.06349693251533742"/>
        <n v="0.2666207371684464"/>
        <n v="0.03561904761904762"/>
        <n v="0.22376093294460642"/>
        <n v="0.3769161406672678"/>
        <n v="0.15729079205149735"/>
        <n v="0.08206083178150217"/>
        <n v="0.3820471518523942"/>
        <n v="0.4834115805946792"/>
        <n v="0.26993654604699024"/>
        <n v="0.48604124748490946"/>
        <n v="0.10358021317299809"/>
        <n v="0.27707387042792253"/>
        <n v="0.18467504680395827"/>
        <n v="0.33903133903133903"/>
        <n v="0.3700767896953183"/>
        <n v="0.4650977263661747"/>
        <n v="0.4990383642069035"/>
        <n v="0.3996804382561059"/>
        <n v="0.09422850412249706"/>
        <n v="0.02359372752121997"/>
        <n v="0.28664192949907236"/>
        <n v="0.2530373831775701"/>
        <n v="0.3084384093113482"/>
        <n v="0.43267728834739144"/>
        <n v="0.26943881000676134"/>
        <n v="0.4361145703611457"/>
        <n v="0.05966791644349223"/>
        <n v="0.12622184445388865"/>
        <n v="0.05634872417982989"/>
        <n v="0.11488495852246047"/>
        <n v="0.43560644442192725"/>
        <n v="0.4534351145038168"/>
        <n v="0.38596491228070173"/>
        <n v="0.31429647295092256"/>
        <n v="0.3509052183173589"/>
        <n v="0.4767128560431101"/>
        <n v="0.2723959914971151"/>
        <n v="0.14236475348419003"/>
        <n v="0.32492997198879553"/>
        <n v="0.4626038781163435"/>
        <n v="0.48438150770512284"/>
        <n v="0.2555023923444976"/>
        <n v="0.14437612093261593"/>
        <n v="0.33117993539806195"/>
        <n v="0.4109321620302587"/>
        <n v="0.38361838588989844"/>
        <n v="0.3522077922077922"/>
        <n v="0.42005388309710673"/>
        <n v="0.3831564687288327"/>
        <n v="0.383399209486166"/>
        <n v="0.14355379457482476"/>
        <n v="0.28314710286833317"/>
        <n v="0.2511702986279257"/>
        <n v="0.12406499871034304"/>
        <n v="0.35190521934037783"/>
        <n v="0.4686635944700461"/>
        <n v="0.48092598630583633"/>
        <n v="0.46622972672739393"/>
        <n v="0.3915552427867699"/>
        <n v="0.2529621967274779"/>
        <n v="0.12151015228426396"/>
        <n v="0.1767903815995818"/>
        <n v="0.039296543359611885"/>
        <n v="0.3015075376884422"/>
        <n v="0.031785714285714285"/>
        <n v="0.2526697561958493"/>
        <n v="0.08535598705501618"/>
        <n v="0.33902759526938236"/>
        <n v="0.18988561107766405"/>
        <n v="0.05742574257425743"/>
        <n v="0.3798415492957746"/>
        <n v="0.2945762711864407"/>
        <n v="0.3815596433811082"/>
        <n v="0.2515322382936994"/>
        <n v="0.4995602462620932"/>
        <n v="0.12088028917712099"/>
        <n v="0.06401384083044982"/>
        <n v="0.13877474785207322"/>
        <n v="0.3906605922551253"/>
        <n v="0.48739495798319327"/>
        <n v="0.16029246344206974"/>
        <n v="0.20736248537078414"/>
        <n v="0.12127686313937414"/>
        <n v="0.40354090354090355"/>
        <n v="0.12541993281075028"/>
        <n v="0.16438644495895602"/>
        <n v="0.4986078627909567"/>
        <n v="0.24312431243124313"/>
        <n v="0.36322049405306495"/>
        <n v="0.03338391502276176"/>
        <n v="0.3065087145969499"/>
        <n v="0.2117437722419929"/>
        <n v="0.443758573388203"/>
        <n v="0.23810079328044798"/>
        <n v="0.2275716590147661"/>
        <n v="0.11909314394974051"/>
        <n v="0.13953488372093023"/>
        <n v="0.27493986132729586"/>
        <n v="0.1427908056651962"/>
        <n v="0.19915700737618547"/>
        <n v="0.3097713097713098"/>
        <n v="0.07345575959933222"/>
        <n v="0.44650708353688323"/>
        <n v="0.2945139557266602"/>
        <n v="0.4578005115089514"/>
        <n v="0.35159873077861853"/>
        <n v="0.3891466612870688"/>
        <n v="0.05338208409506399"/>
        <n v="0.4425133689839572"/>
        <n v="0.14745972738537794"/>
        <n v="0.1911689637570189"/>
        <n v="0.14625541780062493"/>
        <n v="0.44986589643078195"/>
        <n v="0.3088703261734288"/>
        <n v="0.1127946127946128"/>
        <n v="0.43970440040309033"/>
        <n v="0.2987492893689596"/>
        <n v="0.4508058696175126"/>
        <n v="0.10942087002935681"/>
        <n v="0.16718847839699436"/>
        <n v="0.26965372016846045"/>
        <n v="0.02282805058301856"/>
        <n v="0.30935808197989173"/>
        <n v="0.43279212137343626"/>
        <n v="0.4871943000192567"/>
        <n v="0.012811957827305485"/>
        <n v="0.41125121241513096"/>
        <n v="0.2144352924752199"/>
        <n v="0.04048683556880278"/>
        <n v="0.14519535374868003"/>
        <n v="0.026875699888017916"/>
        <n v="0.4462952326249282"/>
        <n v="0.05632790028763183"/>
        <n v="0.024740622505985636"/>
        <n v="0.07233026270897305"/>
        <n v="0.16404886561954624"/>
        <n v="0.08323385784047749"/>
        <n v="0.1272957568081064"/>
        <n v="0.20364963503649636"/>
        <n v="0.2536530535781191"/>
        <n v="0.30403877221324715"/>
        <n v="0.370616586338707"/>
        <n v="0.09563621533442088"/>
        <n v="0.2392857142857143"/>
        <n v="0.17821285140562249"/>
        <n v="0.2330714552936775"/>
        <n v="0.10603182142009024"/>
        <n v="0.23701883701883703"/>
        <n v="0.12686567164179105"/>
        <n v="0.24944540300714813"/>
        <n v="0.30105160185864516"/>
        <n v="0.1926416819012797"/>
        <n v="0.4948740806775128"/>
        <n v="0.3408140814081408"/>
        <n v="0.418331374853114"/>
        <n v="0.13414409434309932"/>
        <n v="0.3391465677179963"/>
        <n v="0.4186923721709975"/>
        <n v="0.06523642732049037"/>
        <n v="0.10076234670202187"/>
        <n v="0.3750558284948638"/>
        <n v="0.2782926144341477"/>
        <n v="0.461074168797954"/>
        <n v="0.05349048050770626"/>
        <n v="0.2154696132596685"/>
        <n v="0.15712214570496558"/>
        <n v="0.08009516256938938"/>
        <n v="0.12073490813648294"/>
        <n v="0.037997587454764774"/>
        <n v="0.47147147147147145"/>
        <n v="0.06357031655422937"/>
        <n v="0.3813933608776179"/>
        <n v="0.4433993953644609"/>
        <n v="0.37100082034454474"/>
        <n v="0.06035613870665417"/>
        <n v="0.055020632737276476"/>
        <n v="0.22888161808447352"/>
        <n v="0.39447032610897304"/>
        <n v="0.30195201301342006"/>
        <n v="0.370021950454688"/>
        <n v="0.2656482861400894"/>
        <n v="0.03002884867558353"/>
        <n v="0.459289248762933"/>
        <n v="0.27535521803037727"/>
        <n v="0.42572741194486985"/>
        <n v="0.12820829220138202"/>
        <n v="0.41912632821723733"/>
        <n v="0.01757750079897731"/>
        <n v="0.48855645058176705"/>
        <n v="0.02695304274584123"/>
        <n v="0.22230360739791247"/>
        <n v="0.19811932555123216"/>
        <n v="0.49991785772958763"/>
        <n v="0.4909983633387889"/>
        <n v="0.3026541527903926"/>
        <n v="0.4900539707016191"/>
        <n v="0.27124948339991733"/>
        <n v="0.21002100210021002"/>
        <n v="0.15437965579244797"/>
        <n v="0.31763474620617477"/>
        <n v="0.1673441734417344"/>
        <n v="0.40783744557329465"/>
        <n v="0.03903629155230253"/>
        <n v="0.34779299847793"/>
        <n v="0.15728449000168038"/>
        <n v="0.17842741935483872"/>
        <n v="0.13300702277080229"/>
        <n v="0.3804210905164657"/>
        <n v="0.27153667054714786"/>
        <n v="0.3932926829268293"/>
        <n v="0.016404199475065617"/>
        <n v="0.36879925822902176"/>
        <n v="0.1128686024178059"/>
        <n v="0.5"/>
        <n v="0.2644320297951583"/>
        <n v="0.44767833109017496"/>
        <n v="0.05978742249778565"/>
        <n v="0.4515558330731606"/>
        <n v="0.3316921221864952"/>
        <n v="0.46439785272966677"/>
        <n v="0.375"/>
        <n v="0.011642156862745098"/>
        <n v="0.37782754759238524"/>
        <n v="0.39327582393275823"/>
        <n v="0.32675222112537017"/>
        <n v="0.13660161827701095"/>
        <n v="0.22767237390097178"/>
        <n v="0.49745203836930457"/>
        <n v="0.021919557352628218"/>
        <n v="0.20441086379415968"/>
        <n v="0.3824175824175824"/>
        <n v="0.19100517687661778"/>
        <n v="0.13430749682337992"/>
        <n v="0.11173673673673673"/>
        <n v="0.3368210493922142"/>
        <n v="0.23621157323688968"/>
        <n v="0.45176529090004974"/>
        <n v="0.1798570850748281"/>
        <n v="0.19066937119675456"/>
        <n v="0.29949595592544836"/>
        <n v="0.1275955461931989"/>
        <n v="0.3552683117900509"/>
        <n v="0.41048292108362777"/>
        <n v="0.49460766084046115"/>
        <n v="0.06625766871165645"/>
        <n v="0.07543789808917198"/>
        <n v="0.27270698504798035"/>
        <n v="0.030086690464048955"/>
        <n v="0.15779467680608364"/>
        <n v="0.49926144756277696"/>
        <n v="0.03195220158462138"/>
        <n v="0.40725212464589233"/>
        <n v="0.30835734870317005"/>
        <n v="0.17833698030634573"/>
      </sharedItems>
    </cacheField>
    <cacheField name="Sales Category" numFmtId="0">
      <sharedItems>
        <s v="High"/>
        <s v="Medium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KPI_Summary" cacheId="0" dataCaption="" compact="0" compactData="0">
  <location ref="B33:B95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name="Prof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Year-Month" axis="axisRow" compact="0" outline="0" multipleItemSelectionAllowed="1" showAll="0" sortType="ascending">
      <items>
        <item x="7"/>
        <item x="32"/>
        <item x="8"/>
        <item x="53"/>
        <item x="60"/>
        <item x="38"/>
        <item x="57"/>
        <item x="20"/>
        <item x="11"/>
        <item x="50"/>
        <item x="49"/>
        <item x="51"/>
        <item x="34"/>
        <item x="27"/>
        <item x="18"/>
        <item x="22"/>
        <item x="2"/>
        <item x="36"/>
        <item x="43"/>
        <item x="4"/>
        <item x="35"/>
        <item x="13"/>
        <item x="12"/>
        <item x="26"/>
        <item x="25"/>
        <item x="39"/>
        <item x="37"/>
        <item x="33"/>
        <item x="58"/>
        <item x="40"/>
        <item x="24"/>
        <item x="15"/>
        <item x="5"/>
        <item x="29"/>
        <item x="54"/>
        <item x="14"/>
        <item x="45"/>
        <item x="28"/>
        <item x="23"/>
        <item x="0"/>
        <item x="17"/>
        <item x="21"/>
        <item x="48"/>
        <item x="59"/>
        <item x="6"/>
        <item x="16"/>
        <item x="10"/>
        <item x="42"/>
        <item x="55"/>
        <item x="44"/>
        <item x="3"/>
        <item x="47"/>
        <item x="41"/>
        <item x="19"/>
        <item x="31"/>
        <item x="56"/>
        <item x="46"/>
        <item x="1"/>
        <item x="52"/>
        <item x="9"/>
        <item x="30"/>
        <item t="default"/>
      </items>
    </pivotField>
    <pivotField name="Year" compact="0" numFmtId="166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rter" compact="0" numFmtId="1" outline="0" multipleItemSelectionAllowed="1" showAll="0">
      <items>
        <item x="0"/>
        <item x="1"/>
        <item x="2"/>
        <item x="3"/>
        <item t="default"/>
      </items>
    </pivotField>
    <pivotField name="Profit 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Sales Category" compact="0" outline="0" multipleItemSelectionAllowed="1" showAll="0">
      <items>
        <item x="0"/>
        <item x="1"/>
        <item t="default"/>
      </items>
    </pivotField>
  </pivotFields>
  <rowFields>
    <field x="11"/>
  </rowFields>
  <dataFields>
    <dataField name="Total Sales" fld="1" baseField="0"/>
  </dataFields>
</pivotTableDefinition>
</file>

<file path=xl/pivotTables/pivotTable2.xml><?xml version="1.0" encoding="utf-8"?>
<pivotTableDefinition xmlns="http://schemas.openxmlformats.org/spreadsheetml/2006/main" name="Analytics_Charts" cacheId="0" dataCaption="" compact="0" compactData="0">
  <location ref="A4:B66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name="Prof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Year-Month" axis="axisRow" compact="0" outline="0" multipleItemSelectionAllowed="1" showAll="0" sortType="ascending">
      <items>
        <item x="7"/>
        <item x="32"/>
        <item x="8"/>
        <item x="53"/>
        <item x="60"/>
        <item x="38"/>
        <item x="57"/>
        <item x="20"/>
        <item x="11"/>
        <item x="50"/>
        <item x="49"/>
        <item x="51"/>
        <item x="34"/>
        <item x="27"/>
        <item x="18"/>
        <item x="22"/>
        <item x="2"/>
        <item x="36"/>
        <item x="43"/>
        <item x="4"/>
        <item x="35"/>
        <item x="13"/>
        <item x="12"/>
        <item x="26"/>
        <item x="25"/>
        <item x="39"/>
        <item x="37"/>
        <item x="33"/>
        <item x="58"/>
        <item x="40"/>
        <item x="24"/>
        <item x="15"/>
        <item x="5"/>
        <item x="29"/>
        <item x="54"/>
        <item x="14"/>
        <item x="45"/>
        <item x="28"/>
        <item x="23"/>
        <item x="0"/>
        <item x="17"/>
        <item x="21"/>
        <item x="48"/>
        <item x="59"/>
        <item x="6"/>
        <item x="16"/>
        <item x="10"/>
        <item x="42"/>
        <item x="55"/>
        <item x="44"/>
        <item x="3"/>
        <item x="47"/>
        <item x="41"/>
        <item x="19"/>
        <item x="31"/>
        <item x="56"/>
        <item x="46"/>
        <item x="1"/>
        <item x="52"/>
        <item x="9"/>
        <item x="30"/>
        <item t="default"/>
      </items>
    </pivotField>
    <pivotField name="Year" compact="0" numFmtId="166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rter" compact="0" numFmtId="1" outline="0" multipleItemSelectionAllowed="1" showAll="0">
      <items>
        <item x="0"/>
        <item x="1"/>
        <item x="2"/>
        <item x="3"/>
        <item t="default"/>
      </items>
    </pivotField>
    <pivotField name="Profit 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Sales Category" compact="0" outline="0" multipleItemSelectionAllowed="1" showAll="0">
      <items>
        <item x="0"/>
        <item x="1"/>
        <item t="default"/>
      </items>
    </pivotField>
  </pivotFields>
  <rowFields>
    <field x="11"/>
  </rowFields>
  <dataFields>
    <dataField name="SUM of Amount" fld="1" baseField="0"/>
  </dataFields>
</pivotTableDefinition>
</file>

<file path=xl/pivotTables/pivotTable3.xml><?xml version="1.0" encoding="utf-8"?>
<pivotTableDefinition xmlns="http://schemas.openxmlformats.org/spreadsheetml/2006/main" name="Analytics_Charts 2" cacheId="0" dataCaption="" rowGrandTotals="0" compact="0" compactData="0">
  <location ref="J4:K10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Amoun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name="Prof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t="default"/>
      </items>
    </pivotField>
    <pivotField name="State" axis="axisRow" compact="0" outline="0" multipleItemSelectionAllowed="1" showAll="0" sortType="ascending">
      <items>
        <item x="3"/>
        <item x="0"/>
        <item x="1"/>
        <item x="2"/>
        <item x="5"/>
        <item x="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Year-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Year" compact="0" numFmtId="166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rter" compact="0" numFmtId="1" outline="0" multipleItemSelectionAllowed="1" showAll="0">
      <items>
        <item x="0"/>
        <item x="1"/>
        <item x="2"/>
        <item x="3"/>
        <item t="default"/>
      </items>
    </pivotField>
    <pivotField name="Profit 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Sales Category" compact="0" outline="0" multipleItemSelectionAllowed="1" showAll="0">
      <items>
        <item x="0"/>
        <item x="1"/>
        <item t="default"/>
      </items>
    </pivotField>
  </pivotFields>
  <rowFields>
    <field x="9"/>
  </rowFields>
  <dataFields>
    <dataField name="SUM of Profit" fld="2" baseField="0"/>
  </dataFields>
</pivotTableDefinition>
</file>

<file path=xl/pivotTables/pivotTable4.xml><?xml version="1.0" encoding="utf-8"?>
<pivotTableDefinition xmlns="http://schemas.openxmlformats.org/spreadsheetml/2006/main" name="Analytics_Charts 3" cacheId="0" dataCaption="" rowGrandTotals="0" compact="0" compactData="0">
  <location ref="J22:K34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name="Prof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ayment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Year-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Year" compact="0" numFmtId="166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rter" compact="0" numFmtId="1" outline="0" multipleItemSelectionAllowed="1" showAll="0">
      <items>
        <item x="0"/>
        <item x="1"/>
        <item x="2"/>
        <item x="3"/>
        <item t="default"/>
      </items>
    </pivotField>
    <pivotField name="Profit 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Sales Category" compact="0" outline="0" multipleItemSelectionAllowed="1" showAll="0">
      <items>
        <item x="0"/>
        <item x="1"/>
        <item t="default"/>
      </items>
    </pivotField>
  </pivotFields>
  <rowFields>
    <field x="5"/>
  </rowFields>
  <dataFields>
    <dataField name="SUM of Amount" fld="1" baseField="0"/>
  </dataFields>
</pivotTableDefinition>
</file>

<file path=xl/pivotTables/pivotTable5.xml><?xml version="1.0" encoding="utf-8"?>
<pivotTableDefinition xmlns="http://schemas.openxmlformats.org/spreadsheetml/2006/main" name="Pivot Table 2" cacheId="0" dataCaption="" rowGrandTotals="0" compact="0" compactData="0">
  <location ref="A1:B6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name="Prof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Mode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Order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Year-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Year" compact="0" numFmtId="166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rter" compact="0" numFmtId="1" outline="0" multipleItemSelectionAllowed="1" showAll="0">
      <items>
        <item x="0"/>
        <item x="1"/>
        <item x="2"/>
        <item x="3"/>
        <item t="default"/>
      </items>
    </pivotField>
    <pivotField name="Profit 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Sales Category" compact="0" outline="0" multipleItemSelectionAllowed="1" showAll="0">
      <items>
        <item x="0"/>
        <item x="1"/>
        <item t="default"/>
      </items>
    </pivotField>
  </pivotFields>
  <rowFields>
    <field x="6"/>
  </rowFields>
  <dataFields>
    <dataField name="SUM of Amount" fld="1" baseField="0"/>
  </dataFields>
</pivotTableDefinition>
</file>

<file path=xl/pivotTables/pivotTable6.xml><?xml version="1.0" encoding="utf-8"?>
<pivotTableDefinition xmlns="http://schemas.openxmlformats.org/spreadsheetml/2006/main" name="Pivot Table 2 2" cacheId="0" dataCaption="" rowGrandTotals="0" compact="0" compactData="0">
  <location ref="D1:E13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name="Prof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ayment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Year-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Year" compact="0" numFmtId="166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rter" compact="0" numFmtId="1" outline="0" multipleItemSelectionAllowed="1" showAll="0">
      <items>
        <item x="0"/>
        <item x="1"/>
        <item x="2"/>
        <item x="3"/>
        <item t="default"/>
      </items>
    </pivotField>
    <pivotField name="Profit 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Sales Category" compact="0" outline="0" multipleItemSelectionAllowed="1" showAll="0">
      <items>
        <item x="0"/>
        <item x="1"/>
        <item t="default"/>
      </items>
    </pivotField>
  </pivotFields>
  <rowFields>
    <field x="5"/>
  </rowFields>
  <dataFields>
    <dataField name="SUM of Amount" fld="1" baseField="0"/>
  </dataFields>
</pivotTableDefinition>
</file>

<file path=xl/pivotTables/pivotTable7.xml><?xml version="1.0" encoding="utf-8"?>
<pivotTableDefinition xmlns="http://schemas.openxmlformats.org/spreadsheetml/2006/main" name="Pivot Table 2 3" cacheId="0" dataCaption="" rowGrandTotals="0" compact="0" compactData="0">
  <location ref="G1:H4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name="Prof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Year-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Year" compact="0" numFmtId="166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rter" compact="0" numFmtId="1" outline="0" multipleItemSelectionAllowed="1" showAll="0">
      <items>
        <item x="0"/>
        <item x="1"/>
        <item x="2"/>
        <item x="3"/>
        <item t="default"/>
      </items>
    </pivotField>
    <pivotField name="Profit 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Sales Category" compact="0" outline="0" multipleItemSelectionAllowed="1" showAll="0">
      <items>
        <item x="0"/>
        <item x="1"/>
        <item t="default"/>
      </items>
    </pivotField>
  </pivotFields>
  <rowFields>
    <field x="4"/>
  </rowFields>
  <dataFields>
    <dataField name="SUM of Amount" fld="1" baseField="0"/>
  </dataFields>
</pivotTableDefinition>
</file>

<file path=xl/pivotTables/pivotTable8.xml><?xml version="1.0" encoding="utf-8"?>
<pivotTableDefinition xmlns="http://schemas.openxmlformats.org/spreadsheetml/2006/main" name="Pivot Table 2 4" cacheId="0" dataCaption="" rowGrandTotals="0" compact="0" compactData="0">
  <location ref="A10:B16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name="Prof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Year-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Year" axis="axisRow" compact="0" numFmtId="166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rter" compact="0" numFmtId="1" outline="0" multipleItemSelectionAllowed="1" showAll="0">
      <items>
        <item x="0"/>
        <item x="1"/>
        <item x="2"/>
        <item x="3"/>
        <item t="default"/>
      </items>
    </pivotField>
    <pivotField name="Profit 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Sales Category" compact="0" outline="0" multipleItemSelectionAllowed="1" showAll="0">
      <items>
        <item x="0"/>
        <item x="1"/>
        <item t="default"/>
      </items>
    </pivotField>
  </pivotFields>
  <rowFields>
    <field x="12"/>
  </rowFields>
  <dataFields>
    <dataField name="SUM of Amount" fld="1" baseField="0"/>
  </dataFields>
</pivotTableDefinition>
</file>

<file path=xl/tables/table1.xml><?xml version="1.0" encoding="utf-8"?>
<table xmlns="http://schemas.openxmlformats.org/spreadsheetml/2006/main" ref="A1:Q1195" displayName="Table1" name="Table1" id="1">
  <tableColumns count="17">
    <tableColumn name="Order ID" id="1"/>
    <tableColumn name="Amount" id="2"/>
    <tableColumn name="Profit" id="3"/>
    <tableColumn name="Quantity" id="4"/>
    <tableColumn name="Category" id="5"/>
    <tableColumn name="Sub-Category" id="6"/>
    <tableColumn name="PaymentMode" id="7"/>
    <tableColumn name="Order Date" id="8"/>
    <tableColumn name="CustomerName" id="9"/>
    <tableColumn name="State" id="10"/>
    <tableColumn name="City" id="11"/>
    <tableColumn name="Year-Month" id="12"/>
    <tableColumn name="Year" id="13"/>
    <tableColumn name="Month" id="14"/>
    <tableColumn name="Quarter" id="15"/>
    <tableColumn name="Profit Margin" id="16"/>
    <tableColumn name="Sales Category" id="17"/>
  </tableColumns>
  <tableStyleInfo name="KPI calculated colum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pivotTable" Target="../pivotTables/pivotTable6.xml"/><Relationship Id="rId3" Type="http://schemas.openxmlformats.org/officeDocument/2006/relationships/pivotTable" Target="../pivotTables/pivotTable7.xml"/><Relationship Id="rId4" Type="http://schemas.openxmlformats.org/officeDocument/2006/relationships/pivotTable" Target="../pivotTables/pivotTable8.xm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B5C92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26.57"/>
    <col customWidth="1" min="3" max="4" width="20.14"/>
    <col customWidth="1" min="5" max="5" width="18.71"/>
    <col customWidth="1" min="6" max="6" width="20.14"/>
    <col customWidth="1" min="7" max="7" width="18.71"/>
    <col customWidth="1" min="8" max="8" width="21.57"/>
    <col customWidth="1" min="9" max="9" width="20.14"/>
    <col customWidth="1" min="10" max="11" width="4.43"/>
  </cols>
  <sheetData>
    <row r="1" ht="12.0" customHeight="1"/>
    <row r="2" ht="33.0" customHeight="1">
      <c r="B2" s="61" t="s">
        <v>59</v>
      </c>
    </row>
    <row r="3" ht="18.0" customHeight="1">
      <c r="B3" s="62" t="s">
        <v>60</v>
      </c>
      <c r="D3" s="62" t="s">
        <v>61</v>
      </c>
      <c r="F3" s="62" t="s">
        <v>62</v>
      </c>
      <c r="H3" s="62" t="s">
        <v>63</v>
      </c>
    </row>
    <row r="4" ht="27.0" customHeight="1">
      <c r="B4" s="65" t="s">
        <v>64</v>
      </c>
      <c r="C4" s="69" t="s">
        <v>67</v>
      </c>
      <c r="D4" s="65" t="s">
        <v>68</v>
      </c>
      <c r="E4" s="69" t="s">
        <v>69</v>
      </c>
      <c r="F4" s="65" t="s">
        <v>70</v>
      </c>
      <c r="G4" s="69" t="s">
        <v>72</v>
      </c>
      <c r="H4" s="76" t="str">
        <f>"● Status: Live (" &amp; IF(C4="All Years","All",C4) &amp; " • " &amp; IF(E4="All Categories","All",E4) &amp; " • " &amp; IF(G4="All Payment Modes","All",G4) &amp; ")"</f>
        <v>● Status: Live (All • All • All)</v>
      </c>
    </row>
    <row r="5" ht="12.0" customHeight="1">
      <c r="C5" s="77" t="s">
        <v>76</v>
      </c>
      <c r="E5" s="77" t="s">
        <v>76</v>
      </c>
    </row>
    <row r="6" ht="16.5" customHeight="1">
      <c r="B6" s="78" t="s">
        <v>77</v>
      </c>
      <c r="C6" s="79"/>
      <c r="D6" s="78" t="s">
        <v>78</v>
      </c>
      <c r="E6" s="79"/>
      <c r="F6" s="78" t="s">
        <v>79</v>
      </c>
      <c r="G6" s="79"/>
      <c r="H6" s="78" t="s">
        <v>80</v>
      </c>
      <c r="I6" s="79"/>
    </row>
    <row r="7" ht="28.5" customHeight="1">
      <c r="B7" s="80">
        <f>IFERROR(__xludf.DUMMYFUNCTION("IFERROR(QUERY('KPI calculated columns'!$A$1:$Q$1195, ""SELECT SUM(B) WHERE 1=1"" &amp; IF($C$4=""All Years"","""","" AND M = ""&amp;$C$4) &amp; IF($E$4=""All Categories"","""","" AND E = '""&amp;$E$4&amp;""'"") &amp; IF($G$4=""All Payment Modes"","""","" AND UPPER(G) = '""&amp;UPPER"&amp;"($G$4)&amp;""'"") &amp; "" LABEL SUM(B) ''"", 1), 0)"),6182639.0)</f>
        <v>6182639</v>
      </c>
      <c r="C7" s="81"/>
      <c r="D7" s="84">
        <f>IFERROR(__xludf.DUMMYFUNCTION("IFERROR(QUERY('KPI calculated columns'!$A$1:$Q$1195, ""SELECT SUM(C) WHERE 1=1"" &amp; IF($C$4=""All Years"","""","" AND M = ""&amp;$C$4) &amp; IF($E$4=""All Categories"","""","" AND E = '""&amp;$E$4&amp;""'"") &amp; IF($G$4=""All Payment Modes"","""","" AND UPPER(G) = '""&amp;UPPER"&amp;"($G$4)&amp;""'"") &amp; "" LABEL SUM(C) ''"", 1), 0)"),1610697.0)</f>
        <v>1610697</v>
      </c>
      <c r="E7" s="81"/>
      <c r="F7" s="88">
        <f>IFERROR(D7/B7, 0)</f>
        <v>0.2605193349</v>
      </c>
      <c r="G7" s="81"/>
      <c r="H7" s="93">
        <f>IFERROR(__xludf.DUMMYFUNCTION("IFERROR(QUERY('KPI calculated columns'!$A$1:$Q$1195, ""SELECT SUM(D) WHERE 1=1"" &amp; IF($C$4=""All Years"","""","" AND M = ""&amp;$C$4) &amp; IF($E$4=""All Categories"","""","" AND E = '""&amp;$E$4&amp;""'"") &amp; IF($G$4=""All Payment Modes"","""","" AND UPPER(G) = '""&amp;UPPER"&amp;"($G$4)&amp;""'"") &amp; "" LABEL SUM(D) ''"", 1), 0)"),12745.0)</f>
        <v>12745</v>
      </c>
      <c r="I7" s="81"/>
    </row>
    <row r="8" ht="15.0" customHeight="1">
      <c r="B8" s="96" t="s">
        <v>89</v>
      </c>
      <c r="C8" s="98"/>
      <c r="D8" s="96" t="s">
        <v>91</v>
      </c>
      <c r="E8" s="98"/>
      <c r="F8" s="96" t="s">
        <v>93</v>
      </c>
      <c r="G8" s="98"/>
      <c r="H8" s="96" t="s">
        <v>96</v>
      </c>
      <c r="I8" s="98"/>
    </row>
    <row r="9" ht="12.0" customHeight="1"/>
    <row r="10" ht="22.5" customHeight="1">
      <c r="B10" s="100" t="s">
        <v>104</v>
      </c>
    </row>
    <row r="11" ht="19.5" customHeight="1">
      <c r="B11" s="104" t="s">
        <v>106</v>
      </c>
      <c r="C11" s="106" t="s">
        <v>110</v>
      </c>
      <c r="D11" s="106" t="s">
        <v>114</v>
      </c>
      <c r="E11" s="106" t="s">
        <v>116</v>
      </c>
    </row>
    <row r="12" ht="18.0" customHeight="1">
      <c r="B12" s="109" t="s">
        <v>117</v>
      </c>
      <c r="C12" s="118">
        <f>IFERROR(__xludf.DUMMYFUNCTION("IFERROR(QUERY('KPI calculated columns'!$A$1:$Q$1195, ""SELECT SUM(B) WHERE J = '""&amp;$B12&amp;""'"" &amp; IF($C$4=""All Years"","""","" AND M = ""&amp;$C$4) &amp; IF($E$4=""All Categories"","""","" AND E = '""&amp;$E$4&amp;""'"") &amp; IF($G$4=""All Payment Modes"","""","" AND UPPER(G"&amp;") = '""&amp;UPPER($G$4)&amp;""'"") &amp; "" LABEL SUM(B) ''"", 1), 0)"),1086436.0)</f>
        <v>1086436</v>
      </c>
      <c r="D12" s="124">
        <f>IFERROR(__xludf.DUMMYFUNCTION("IFERROR(QUERY('KPI calculated columns'!$A$1:$Q$1195, ""SELECT SUM(C) WHERE J = '""&amp;$B12&amp;""'"" &amp; IF($C$4=""All Years"","""","" AND M = ""&amp;$C$4) &amp; IF($E$4=""All Categories"","""","" AND E = '""&amp;$E$4&amp;""'"") &amp; IF($G$4=""All Payment Modes"","""","" AND UPPER(G"&amp;") = '""&amp;UPPER($G$4)&amp;""'"") &amp; "" LABEL SUM(C) ''"", 1), 0)"),278814.0)</f>
        <v>278814</v>
      </c>
      <c r="E12" s="136">
        <f t="shared" ref="E12:E18" si="1">IFERROR(D12/C12, 0)</f>
        <v>0.2566317758</v>
      </c>
    </row>
    <row r="13" ht="18.0" customHeight="1">
      <c r="B13" s="109" t="s">
        <v>159</v>
      </c>
      <c r="C13" s="140">
        <f>IFERROR(__xludf.DUMMYFUNCTION("IFERROR(QUERY('KPI calculated columns'!$A$1:$Q$1195, ""SELECT SUM(B) WHERE J = '""&amp;$B13&amp;""'"" &amp; IF($C$4=""All Years"","""","" AND M = ""&amp;$C$4) &amp; IF($E$4=""All Categories"","""","" AND E = '""&amp;$E$4&amp;""'"") &amp; IF($G$4=""All Payment Modes"","""","" AND UPPER(G"&amp;") = '""&amp;UPPER($G$4)&amp;""'"") &amp; "" LABEL SUM(B) ''"", 1), 0)"),1091174.0)</f>
        <v>1091174</v>
      </c>
      <c r="D13" s="142">
        <f>IFERROR(__xludf.DUMMYFUNCTION("IFERROR(QUERY('KPI calculated columns'!$A$1:$Q$1195, ""SELECT SUM(C) WHERE J = '""&amp;$B13&amp;""'"" &amp; IF($C$4=""All Years"","""","" AND M = ""&amp;$C$4) &amp; IF($E$4=""All Categories"","""","" AND E = '""&amp;$E$4&amp;""'"") &amp; IF($G$4=""All Payment Modes"","""","" AND UPPER(G"&amp;") = '""&amp;UPPER($G$4)&amp;""'"") &amp; "" LABEL SUM(C) ''"", 1), 0)"),308706.0)</f>
        <v>308706</v>
      </c>
      <c r="E13" s="147">
        <f t="shared" si="1"/>
        <v>0.2829117996</v>
      </c>
    </row>
    <row r="14" ht="18.0" customHeight="1">
      <c r="B14" s="109" t="s">
        <v>223</v>
      </c>
      <c r="C14" s="118">
        <f>IFERROR(__xludf.DUMMYFUNCTION("IFERROR(QUERY('KPI calculated columns'!$A$1:$Q$1195, ""SELECT SUM(B) WHERE J = '""&amp;$B14&amp;""'"" &amp; IF($C$4=""All Years"","""","" AND M = ""&amp;$C$4) &amp; IF($E$4=""All Categories"","""","" AND E = '""&amp;$E$4&amp;""'"") &amp; IF($G$4=""All Payment Modes"","""","" AND UPPER(G"&amp;") = '""&amp;UPPER($G$4)&amp;""'"") &amp; "" LABEL SUM(B) ''"", 1), 0)"),1130048.0)</f>
        <v>1130048</v>
      </c>
      <c r="D14" s="124">
        <f>IFERROR(__xludf.DUMMYFUNCTION("IFERROR(QUERY('KPI calculated columns'!$A$1:$Q$1195, ""SELECT SUM(C) WHERE J = '""&amp;$B14&amp;""'"" &amp; IF($C$4=""All Years"","""","" AND M = ""&amp;$C$4) &amp; IF($E$4=""All Categories"","""","" AND E = '""&amp;$E$4&amp;""'"") &amp; IF($G$4=""All Payment Modes"","""","" AND UPPER(G"&amp;") = '""&amp;UPPER($G$4)&amp;""'"") &amp; "" LABEL SUM(C) ''"", 1), 0)"),308506.0)</f>
        <v>308506</v>
      </c>
      <c r="E14" s="136">
        <f t="shared" si="1"/>
        <v>0.2730025627</v>
      </c>
    </row>
    <row r="15" ht="18.0" customHeight="1">
      <c r="B15" s="109" t="s">
        <v>241</v>
      </c>
      <c r="C15" s="140">
        <f>IFERROR(__xludf.DUMMYFUNCTION("IFERROR(QUERY('KPI calculated columns'!$A$1:$Q$1195, ""SELECT SUM(B) WHERE J = '""&amp;$B15&amp;""'"" &amp; IF($C$4=""All Years"","""","" AND M = ""&amp;$C$4) &amp; IF($E$4=""All Categories"","""","" AND E = '""&amp;$E$4&amp;""'"") &amp; IF($G$4=""All Payment Modes"","""","" AND UPPER(G"&amp;") = '""&amp;UPPER($G$4)&amp;""'"") &amp; "" LABEL SUM(B) ''"", 1), 0)"),1011475.0)</f>
        <v>1011475</v>
      </c>
      <c r="D15" s="142">
        <f>IFERROR(__xludf.DUMMYFUNCTION("IFERROR(QUERY('KPI calculated columns'!$A$1:$Q$1195, ""SELECT SUM(C) WHERE J = '""&amp;$B15&amp;""'"" &amp; IF($C$4=""All Years"","""","" AND M = ""&amp;$C$4) &amp; IF($E$4=""All Categories"","""","" AND E = '""&amp;$E$4&amp;""'"") &amp; IF($G$4=""All Payment Modes"","""","" AND UPPER(G"&amp;") = '""&amp;UPPER($G$4)&amp;""'"") &amp; "" LABEL SUM(C) ''"", 1), 0)"),257780.0)</f>
        <v>257780</v>
      </c>
      <c r="E15" s="147">
        <f t="shared" si="1"/>
        <v>0.2548555328</v>
      </c>
    </row>
    <row r="16" ht="18.0" customHeight="1">
      <c r="B16" s="170" t="s">
        <v>271</v>
      </c>
      <c r="C16" s="118">
        <f>IFERROR(__xludf.DUMMYFUNCTION("IFERROR(QUERY('KPI calculated columns'!$A$1:$Q$1195, ""SELECT SUM(B) WHERE J = '""&amp;$B16&amp;""'"" &amp; IF($C$4=""All Years"","""","" AND M = ""&amp;$C$4) &amp; IF($E$4=""All Categories"","""","" AND E = '""&amp;$E$4&amp;""'"") &amp; IF($G$4=""All Payment Modes"","""","" AND UPPER(G"&amp;") = '""&amp;UPPER($G$4)&amp;""'"") &amp; "" LABEL SUM(B) ''"", 1), 0)"),978738.0)</f>
        <v>978738</v>
      </c>
      <c r="D16" s="118">
        <f>IFERROR(__xludf.DUMMYFUNCTION("IFERROR(QUERY('KPI calculated columns'!$A$1:$Q$1195, ""SELECT SUM(C) WHERE J = '""&amp;$B16&amp;""'"" &amp; IF($C$4=""All Years"","""","" AND M = ""&amp;$C$4) &amp; IF($E$4=""All Categories"","""","" AND E = '""&amp;$E$4&amp;""'"") &amp; IF($G$4=""All Payment Modes"","""","" AND UPPER(G"&amp;") = '""&amp;UPPER($G$4)&amp;""'"") &amp; "" LABEL SUM(C) ''"", 1), 0)"),240372.0)</f>
        <v>240372</v>
      </c>
      <c r="E16" s="136">
        <f t="shared" si="1"/>
        <v>0.2455938157</v>
      </c>
    </row>
    <row r="17" ht="18.0" customHeight="1">
      <c r="B17" s="179" t="s">
        <v>313</v>
      </c>
      <c r="C17" s="140">
        <f>IFERROR(__xludf.DUMMYFUNCTION("IFERROR(QUERY('KPI calculated columns'!$A$1:$Q$1195, ""SELECT SUM(B) WHERE J = '""&amp;$B17&amp;""'"" &amp; IF($C$4=""All Years"","""","" AND M = ""&amp;$C$4) &amp; IF($E$4=""All Categories"","""","" AND E = '""&amp;$E$4&amp;""'"") &amp; IF($G$4=""All Payment Modes"","""","" AND UPPER(G"&amp;") = '""&amp;UPPER($G$4)&amp;""'"") &amp; "" LABEL SUM(B) ''"", 1), 0)"),884768.0)</f>
        <v>884768</v>
      </c>
      <c r="D17" s="140">
        <f>IFERROR(__xludf.DUMMYFUNCTION("IFERROR(QUERY('KPI calculated columns'!$A$1:$Q$1195, ""SELECT SUM(C) WHERE J = '""&amp;$B17&amp;""'"" &amp; IF($C$4=""All Years"","""","" AND M = ""&amp;$C$4) &amp; IF($E$4=""All Categories"","""","" AND E = '""&amp;$E$4&amp;""'"") &amp; IF($G$4=""All Payment Modes"","""","" AND UPPER(G"&amp;") = '""&amp;UPPER($G$4)&amp;""'"") &amp; "" LABEL SUM(C) ''"", 1), 0)"),216519.0)</f>
        <v>216519</v>
      </c>
      <c r="E17" s="147">
        <f t="shared" si="1"/>
        <v>0.2447183895</v>
      </c>
    </row>
    <row r="18" ht="19.5" customHeight="1">
      <c r="B18" s="189" t="s">
        <v>338</v>
      </c>
      <c r="C18" s="190">
        <f t="shared" ref="C18:D18" si="2">SUM(C12:C17)</f>
        <v>6182639</v>
      </c>
      <c r="D18" s="190">
        <f t="shared" si="2"/>
        <v>1610697</v>
      </c>
      <c r="E18" s="191">
        <f t="shared" si="1"/>
        <v>0.2605193349</v>
      </c>
    </row>
    <row r="19" ht="12.0" customHeight="1"/>
    <row r="20" ht="12.0" customHeight="1"/>
    <row r="21" ht="22.5" customHeight="1">
      <c r="B21" s="100" t="s">
        <v>346</v>
      </c>
    </row>
    <row r="22" ht="19.5" customHeight="1">
      <c r="B22" s="104" t="s">
        <v>348</v>
      </c>
      <c r="C22" s="106" t="s">
        <v>349</v>
      </c>
      <c r="D22" s="106" t="s">
        <v>350</v>
      </c>
      <c r="E22" s="106" t="s">
        <v>351</v>
      </c>
      <c r="F22" s="106" t="s">
        <v>352</v>
      </c>
      <c r="G22" s="106" t="s">
        <v>353</v>
      </c>
      <c r="H22" s="106" t="s">
        <v>110</v>
      </c>
      <c r="I22" s="106" t="s">
        <v>116</v>
      </c>
    </row>
    <row r="23" ht="18.0" customHeight="1">
      <c r="B23" s="170" t="s">
        <v>157</v>
      </c>
      <c r="C23" s="118">
        <f>IFERROR(__xludf.DUMMYFUNCTION("IFERROR(QUERY('KPI calculated columns'!$A$1:$Q$1195, ""SELECT SUM(B) WHERE E = '""&amp;$B23&amp;""' AND UPPER(G) = '""&amp;UPPER(C$22)&amp;""'"" &amp; IF($C$4=""All Years"","""","" AND M = ""&amp;$C$4) &amp; "" LABEL SUM(B) ''"", 1), 0)"),318810.0)</f>
        <v>318810</v>
      </c>
      <c r="D23" s="118">
        <f>IFERROR(__xludf.DUMMYFUNCTION("IFERROR(QUERY('KPI calculated columns'!$A$1:$Q$1195, ""SELECT SUM(B) WHERE E = '""&amp;$B23&amp;""' AND UPPER(G) = '""&amp;UPPER(D$22)&amp;""'"" &amp; IF($C$4=""All Years"","""","" AND M = ""&amp;$C$4) &amp; "" LABEL SUM(B) ''"", 1), 0)"),491171.0)</f>
        <v>491171</v>
      </c>
      <c r="E23" s="118">
        <f>IFERROR(__xludf.DUMMYFUNCTION("IFERROR(QUERY('KPI calculated columns'!$A$1:$Q$1195, ""SELECT SUM(B) WHERE E = '""&amp;$B23&amp;""' AND UPPER(G) = '""&amp;UPPER(E$22)&amp;""'"" &amp; IF($C$4=""All Years"","""","" AND M = ""&amp;$C$4) &amp; "" LABEL SUM(B) ''"", 1), 0)"),478175.0)</f>
        <v>478175</v>
      </c>
      <c r="F23" s="118">
        <f>IFERROR(__xludf.DUMMYFUNCTION("IFERROR(QUERY('KPI calculated columns'!$A$1:$Q$1195, ""SELECT SUM(B) WHERE E = '""&amp;$B23&amp;""' AND UPPER(G) = '""&amp;UPPER(F$22)&amp;""'"" &amp; IF($C$4=""All Years"","""","" AND M = ""&amp;$C$4) &amp; "" LABEL SUM(B) ''"", 1), 0)"),310231.0)</f>
        <v>310231</v>
      </c>
      <c r="G23" s="118">
        <f>IFERROR(__xludf.DUMMYFUNCTION("IFERROR(QUERY('KPI calculated columns'!$A$1:$Q$1195, ""SELECT SUM(B) WHERE E = '""&amp;$B23&amp;""' AND UPPER(G) = '""&amp;UPPER(G$22)&amp;""'"" &amp; IF($C$4=""All Years"","""","" AND M = ""&amp;$C$4) &amp; "" LABEL SUM(B) ''"", 1), 0)"),456069.0)</f>
        <v>456069</v>
      </c>
      <c r="H23" s="118">
        <f t="shared" ref="H23:H25" si="3">SUM(C23:G23)</f>
        <v>2054456</v>
      </c>
      <c r="I23" s="136">
        <f>IFERROR(__xludf.DUMMYFUNCTION("IFERROR(QUERY('KPI calculated columns'!$A$1:$Q$1195, ""SELECT SUM(C) WHERE E = '""&amp;$B23&amp;""'"" &amp; IF($C$4=""All Years"","""","" AND M = ""&amp;$C$4) &amp; "" LABEL SUM(C) ''"", 1) / H23, 0)"),0.25241718488981996)</f>
        <v>0.2524171849</v>
      </c>
    </row>
    <row r="24" ht="18.0" customHeight="1">
      <c r="B24" s="179" t="s">
        <v>216</v>
      </c>
      <c r="C24" s="140">
        <f>IFERROR(__xludf.DUMMYFUNCTION("IFERROR(QUERY('KPI calculated columns'!$A$1:$Q$1195, ""SELECT SUM(B) WHERE E = '""&amp;$B24&amp;""' AND UPPER(G) = '""&amp;UPPER(C$22)&amp;""'"" &amp; IF($C$4=""All Years"","""","" AND M = ""&amp;$C$4) &amp; "" LABEL SUM(B) ''"", 1), 0)"),406850.0)</f>
        <v>406850</v>
      </c>
      <c r="D24" s="140">
        <f>IFERROR(__xludf.DUMMYFUNCTION("IFERROR(QUERY('KPI calculated columns'!$A$1:$Q$1195, ""SELECT SUM(B) WHERE E = '""&amp;$B24&amp;""' AND UPPER(G) = '""&amp;UPPER(D$22)&amp;""'"" &amp; IF($C$4=""All Years"","""","" AND M = ""&amp;$C$4) &amp; "" LABEL SUM(B) ''"", 1), 0)"),391205.0)</f>
        <v>391205</v>
      </c>
      <c r="E24" s="140">
        <f>IFERROR(__xludf.DUMMYFUNCTION("IFERROR(QUERY('KPI calculated columns'!$A$1:$Q$1195, ""SELECT SUM(B) WHERE E = '""&amp;$B24&amp;""' AND UPPER(G) = '""&amp;UPPER(E$22)&amp;""'"" &amp; IF($C$4=""All Years"","""","" AND M = ""&amp;$C$4) &amp; "" LABEL SUM(B) ''"", 1), 0)"),483286.0)</f>
        <v>483286</v>
      </c>
      <c r="F24" s="140">
        <f>IFERROR(__xludf.DUMMYFUNCTION("IFERROR(QUERY('KPI calculated columns'!$A$1:$Q$1195, ""SELECT SUM(B) WHERE E = '""&amp;$B24&amp;""' AND UPPER(G) = '""&amp;UPPER(F$22)&amp;""'"" &amp; IF($C$4=""All Years"","""","" AND M = ""&amp;$C$4) &amp; "" LABEL SUM(B) ''"", 1), 0)"),432383.0)</f>
        <v>432383</v>
      </c>
      <c r="G24" s="140">
        <f>IFERROR(__xludf.DUMMYFUNCTION("IFERROR(QUERY('KPI calculated columns'!$A$1:$Q$1195, ""SELECT SUM(B) WHERE E = '""&amp;$B24&amp;""' AND UPPER(G) = '""&amp;UPPER(G$22)&amp;""'"" &amp; IF($C$4=""All Years"","""","" AND M = ""&amp;$C$4) &amp; "" LABEL SUM(B) ''"", 1), 0)"),324949.0)</f>
        <v>324949</v>
      </c>
      <c r="H24" s="140">
        <f t="shared" si="3"/>
        <v>2038673</v>
      </c>
      <c r="I24" s="192">
        <f>IFERROR(__xludf.DUMMYFUNCTION("IFERROR(QUERY('KPI calculated columns'!$A$1:$Q$1195, ""SELECT SUM(C) WHERE E = '""&amp;$B24&amp;""'"" &amp; IF($C$4=""All Years"","""","" AND M = ""&amp;$C$4) &amp; "" LABEL SUM(C) ''"", 1) / H24, 0)"),0.26514404222746857)</f>
        <v>0.2651440422</v>
      </c>
    </row>
    <row r="25" ht="18.0" customHeight="1">
      <c r="B25" s="170" t="s">
        <v>242</v>
      </c>
      <c r="C25" s="118">
        <f>IFERROR(__xludf.DUMMYFUNCTION("IFERROR(QUERY('KPI calculated columns'!$A$1:$Q$1195, ""SELECT SUM(B) WHERE E = '""&amp;$B25&amp;""' AND UPPER(G) = '""&amp;UPPER(C$22)&amp;""'"" &amp; IF($C$4=""All Years"","""","" AND M = ""&amp;$C$4) &amp; "" LABEL SUM(B) ''"", 1), 0)"),416130.0)</f>
        <v>416130</v>
      </c>
      <c r="D25" s="118">
        <f>IFERROR(__xludf.DUMMYFUNCTION("IFERROR(QUERY('KPI calculated columns'!$A$1:$Q$1195, ""SELECT SUM(B) WHERE E = '""&amp;$B25&amp;""' AND UPPER(G) = '""&amp;UPPER(D$22)&amp;""'"" &amp; IF($C$4=""All Years"","""","" AND M = ""&amp;$C$4) &amp; "" LABEL SUM(B) ''"", 1), 0)"),398668.0)</f>
        <v>398668</v>
      </c>
      <c r="E25" s="118">
        <f>IFERROR(__xludf.DUMMYFUNCTION("IFERROR(QUERY('KPI calculated columns'!$A$1:$Q$1195, ""SELECT SUM(B) WHERE E = '""&amp;$B25&amp;""' AND UPPER(G) = '""&amp;UPPER(E$22)&amp;""'"" &amp; IF($C$4=""All Years"","""","" AND M = ""&amp;$C$4) &amp; "" LABEL SUM(B) ''"", 1), 0)"),433574.0)</f>
        <v>433574</v>
      </c>
      <c r="F25" s="118">
        <f>IFERROR(__xludf.DUMMYFUNCTION("IFERROR(QUERY('KPI calculated columns'!$A$1:$Q$1195, ""SELECT SUM(B) WHERE E = '""&amp;$B25&amp;""' AND UPPER(G) = '""&amp;UPPER(F$22)&amp;""'"" &amp; IF($C$4=""All Years"","""","" AND M = ""&amp;$C$4) &amp; "" LABEL SUM(B) ''"", 1), 0)"),371683.0)</f>
        <v>371683</v>
      </c>
      <c r="G25" s="118">
        <f>IFERROR(__xludf.DUMMYFUNCTION("IFERROR(QUERY('KPI calculated columns'!$A$1:$Q$1195, ""SELECT SUM(B) WHERE E = '""&amp;$B25&amp;""' AND UPPER(G) = '""&amp;UPPER(G$22)&amp;""'"" &amp; IF($C$4=""All Years"","""","" AND M = ""&amp;$C$4) &amp; "" LABEL SUM(B) ''"", 1), 0)"),469455.0)</f>
        <v>469455</v>
      </c>
      <c r="H25" s="193">
        <f t="shared" si="3"/>
        <v>2089510</v>
      </c>
      <c r="I25" s="136">
        <f>IFERROR(__xludf.DUMMYFUNCTION("IFERROR(QUERY('KPI calculated columns'!$A$1:$Q$1195, ""SELECT SUM(C) WHERE E = '""&amp;$B25&amp;""'"" &amp; IF($C$4=""All Years"","""","" AND M = ""&amp;$C$4) &amp; "" LABEL SUM(C) ''"", 1) / H25, 0)"),0.2639733717474432)</f>
        <v>0.2639733717</v>
      </c>
    </row>
    <row r="26" ht="19.5" customHeight="1">
      <c r="B26" s="189" t="s">
        <v>363</v>
      </c>
      <c r="C26" s="190">
        <f t="shared" ref="C26:H26" si="4">SUM(C23:C25)</f>
        <v>1141790</v>
      </c>
      <c r="D26" s="190">
        <f t="shared" si="4"/>
        <v>1281044</v>
      </c>
      <c r="E26" s="190">
        <f t="shared" si="4"/>
        <v>1395035</v>
      </c>
      <c r="F26" s="190">
        <f t="shared" si="4"/>
        <v>1114297</v>
      </c>
      <c r="G26" s="190">
        <f t="shared" si="4"/>
        <v>1250473</v>
      </c>
      <c r="H26" s="190">
        <f t="shared" si="4"/>
        <v>6182639</v>
      </c>
      <c r="I26" s="191">
        <f>IFERROR(__xludf.DUMMYFUNCTION("IFERROR(QUERY('KPI calculated columns'!$A$1:$Q$1195, ""SELECT SUM(C) WHERE 1=1"" &amp; IF($C$4=""All Years"","""","" AND M = ""&amp;$C$4) &amp; "" LABEL SUM(C) ''"", 1) / H26, 0)"),0.2605193348665513)</f>
        <v>0.2605193349</v>
      </c>
    </row>
    <row r="27" ht="12.0" customHeight="1"/>
    <row r="28" ht="19.5" customHeight="1">
      <c r="B28" s="104" t="s">
        <v>365</v>
      </c>
      <c r="C28" s="106" t="s">
        <v>366</v>
      </c>
      <c r="D28" s="106" t="s">
        <v>367</v>
      </c>
    </row>
    <row r="29" ht="16.5" customHeight="1">
      <c r="B29" s="170" t="s">
        <v>349</v>
      </c>
      <c r="C29" s="118">
        <f>C26</f>
        <v>1141790</v>
      </c>
      <c r="D29" s="136">
        <f t="shared" ref="D29:D33" si="5">IFERROR(C29/$H$26, 0)</f>
        <v>0.1846768023</v>
      </c>
    </row>
    <row r="30" ht="16.5" customHeight="1">
      <c r="B30" s="179" t="s">
        <v>350</v>
      </c>
      <c r="C30" s="140">
        <f>D26</f>
        <v>1281044</v>
      </c>
      <c r="D30" s="147">
        <f t="shared" si="5"/>
        <v>0.207200194</v>
      </c>
    </row>
    <row r="31" ht="16.5" customHeight="1">
      <c r="B31" s="170" t="s">
        <v>351</v>
      </c>
      <c r="C31" s="196">
        <f>E26</f>
        <v>1395035</v>
      </c>
      <c r="D31" s="136">
        <f t="shared" si="5"/>
        <v>0.2256374665</v>
      </c>
    </row>
    <row r="32" ht="16.5" customHeight="1">
      <c r="B32" s="179" t="s">
        <v>352</v>
      </c>
      <c r="C32" s="140">
        <f>F26</f>
        <v>1114297</v>
      </c>
      <c r="D32" s="147">
        <f t="shared" si="5"/>
        <v>0.1802299956</v>
      </c>
    </row>
    <row r="33" ht="16.5" customHeight="1">
      <c r="B33" s="170" t="s">
        <v>353</v>
      </c>
      <c r="C33" s="118">
        <f>G26</f>
        <v>1250473</v>
      </c>
      <c r="D33" s="136">
        <f t="shared" si="5"/>
        <v>0.2022555417</v>
      </c>
    </row>
    <row r="34" ht="18.0" customHeight="1">
      <c r="B34" s="189" t="s">
        <v>368</v>
      </c>
      <c r="C34" s="190">
        <f t="shared" ref="C34:D34" si="6">SUM(C29:C33)</f>
        <v>6182639</v>
      </c>
      <c r="D34" s="191">
        <f t="shared" si="6"/>
        <v>1</v>
      </c>
    </row>
    <row r="35" ht="12.0" customHeight="1"/>
    <row r="36" ht="22.5" customHeight="1">
      <c r="B36" s="100" t="s">
        <v>371</v>
      </c>
    </row>
    <row r="37" ht="19.5" customHeight="1">
      <c r="B37" s="199" t="s">
        <v>372</v>
      </c>
      <c r="C37" s="200"/>
      <c r="D37" s="200"/>
      <c r="E37" s="200"/>
      <c r="F37" s="200"/>
      <c r="G37" s="200"/>
      <c r="H37" s="200"/>
      <c r="I37" s="79"/>
    </row>
    <row r="38" ht="19.5" customHeight="1">
      <c r="B38" s="201" t="s">
        <v>373</v>
      </c>
      <c r="I38" s="81"/>
    </row>
    <row r="39" ht="19.5" customHeight="1">
      <c r="B39" s="201" t="s">
        <v>374</v>
      </c>
      <c r="I39" s="81"/>
    </row>
    <row r="40" ht="19.5" customHeight="1">
      <c r="B40" s="201" t="s">
        <v>375</v>
      </c>
      <c r="I40" s="81"/>
    </row>
    <row r="41" ht="19.5" customHeight="1">
      <c r="B41" s="202" t="s">
        <v>376</v>
      </c>
      <c r="C41" s="203"/>
      <c r="D41" s="203"/>
      <c r="E41" s="203"/>
      <c r="F41" s="203"/>
      <c r="G41" s="203"/>
      <c r="H41" s="203"/>
      <c r="I41" s="98"/>
    </row>
  </sheetData>
  <mergeCells count="26">
    <mergeCell ref="D6:E6"/>
    <mergeCell ref="F6:G6"/>
    <mergeCell ref="B2:I2"/>
    <mergeCell ref="B3:C3"/>
    <mergeCell ref="D3:E3"/>
    <mergeCell ref="F3:G3"/>
    <mergeCell ref="H3:I3"/>
    <mergeCell ref="H4:I4"/>
    <mergeCell ref="H6:I6"/>
    <mergeCell ref="F8:G8"/>
    <mergeCell ref="H8:I8"/>
    <mergeCell ref="B10:I10"/>
    <mergeCell ref="B21:I21"/>
    <mergeCell ref="B36:I36"/>
    <mergeCell ref="B37:I37"/>
    <mergeCell ref="B38:I38"/>
    <mergeCell ref="B39:I39"/>
    <mergeCell ref="B40:I40"/>
    <mergeCell ref="B41:I41"/>
    <mergeCell ref="B6:C6"/>
    <mergeCell ref="B7:C7"/>
    <mergeCell ref="D7:E7"/>
    <mergeCell ref="F7:G7"/>
    <mergeCell ref="H7:I7"/>
    <mergeCell ref="B8:C8"/>
    <mergeCell ref="D8:E8"/>
  </mergeCells>
  <dataValidations>
    <dataValidation type="list" allowBlank="1" showErrorMessage="1" sqref="C4">
      <formula1>"All Years,2020,2021,2022,2023,2024,2025"</formula1>
    </dataValidation>
    <dataValidation type="list" allowBlank="1" showErrorMessage="1" sqref="E4">
      <formula1>"All Categories,Electronics,Furniture,Office Supplies"</formula1>
    </dataValidation>
    <dataValidation type="list" allowBlank="1" showErrorMessage="1" sqref="G4">
      <formula1>"All Payment Modes,COD,Credit Card,Debit Card,EMI,UPI"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B6CAF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15.86"/>
    <col customWidth="1" min="3" max="3" width="31.57"/>
    <col customWidth="1" min="4" max="5" width="24.43"/>
    <col customWidth="1" min="6" max="7" width="40.14"/>
    <col customWidth="1" min="8" max="9" width="20.14"/>
    <col customWidth="1" min="10" max="10" width="3.57"/>
  </cols>
  <sheetData>
    <row r="1" ht="12.0" customHeight="1"/>
    <row r="2" ht="34.5" customHeight="1">
      <c r="B2" s="1" t="s">
        <v>0</v>
      </c>
    </row>
    <row r="3" ht="19.5" customHeight="1">
      <c r="B3" s="2" t="s">
        <v>1</v>
      </c>
    </row>
    <row r="4" ht="10.5" customHeight="1"/>
    <row r="5" ht="16.5" customHeight="1">
      <c r="B5" s="3" t="s">
        <v>2</v>
      </c>
      <c r="C5" s="4"/>
      <c r="D5" s="3" t="s">
        <v>3</v>
      </c>
      <c r="E5" s="4"/>
      <c r="F5" s="5" t="s">
        <v>4</v>
      </c>
      <c r="G5" s="6"/>
      <c r="H5" s="7" t="s">
        <v>5</v>
      </c>
      <c r="I5" s="8"/>
    </row>
    <row r="6" ht="28.5" customHeight="1">
      <c r="B6" s="9">
        <v>6182639.0</v>
      </c>
      <c r="C6" s="10"/>
      <c r="D6" s="11" t="s">
        <v>6</v>
      </c>
      <c r="E6" s="10"/>
      <c r="F6" s="12" t="s">
        <v>7</v>
      </c>
      <c r="G6" s="10"/>
      <c r="H6" s="13" t="s">
        <v>8</v>
      </c>
      <c r="I6" s="10"/>
    </row>
    <row r="7" ht="18.0" customHeight="1">
      <c r="B7" s="14" t="s">
        <v>9</v>
      </c>
      <c r="C7" s="15"/>
      <c r="D7" s="14" t="s">
        <v>10</v>
      </c>
      <c r="E7" s="15"/>
      <c r="F7" s="16" t="s">
        <v>11</v>
      </c>
      <c r="G7" s="15"/>
      <c r="H7" s="17" t="s">
        <v>12</v>
      </c>
      <c r="I7" s="15"/>
    </row>
    <row r="8" ht="12.0" customHeight="1"/>
    <row r="9" ht="27.0" customHeight="1">
      <c r="B9" s="18" t="s">
        <v>13</v>
      </c>
    </row>
    <row r="10" ht="22.5" customHeight="1">
      <c r="B10" s="19" t="s">
        <v>14</v>
      </c>
      <c r="C10" s="19" t="s">
        <v>15</v>
      </c>
      <c r="D10" s="19" t="s">
        <v>16</v>
      </c>
      <c r="E10" s="19" t="s">
        <v>17</v>
      </c>
      <c r="F10" s="19" t="s">
        <v>18</v>
      </c>
      <c r="G10" s="19" t="s">
        <v>19</v>
      </c>
      <c r="H10" s="19" t="s">
        <v>20</v>
      </c>
      <c r="I10" s="19" t="s">
        <v>21</v>
      </c>
    </row>
    <row r="11" ht="19.5" customHeight="1">
      <c r="B11" s="20" t="s">
        <v>22</v>
      </c>
      <c r="C11" s="21">
        <f>SUMIFS('KPI calculated columns'!$B:$B, 'KPI calculated columns'!$M:$M, 2020)</f>
        <v>859401</v>
      </c>
      <c r="D11" s="21">
        <f>SUMIFS('KPI calculated columns'!$C:$C, 'KPI calculated columns'!$M:$M, 2020)</f>
        <v>224103</v>
      </c>
      <c r="E11" s="22">
        <f t="shared" ref="E11:E17" si="1">D11/C11</f>
        <v>0.2607665106</v>
      </c>
      <c r="F11" s="23" t="s">
        <v>23</v>
      </c>
      <c r="G11" s="24" t="s">
        <v>23</v>
      </c>
      <c r="H11" s="22">
        <f t="shared" ref="H11:H16" si="2">C11/$C$17</f>
        <v>0.1390022934</v>
      </c>
      <c r="I11" s="25" t="s">
        <v>24</v>
      </c>
    </row>
    <row r="12" ht="19.5" customHeight="1">
      <c r="B12" s="26" t="s">
        <v>25</v>
      </c>
      <c r="C12" s="37">
        <f>SUMIFS('KPI calculated columns'!$B:$B, 'KPI calculated columns'!$M:$M, 2021)</f>
        <v>1181446</v>
      </c>
      <c r="D12" s="37">
        <f>SUMIFS('KPI calculated columns'!$C:$C, 'KPI calculated columns'!$M:$M, 2021)</f>
        <v>283231</v>
      </c>
      <c r="E12" s="43">
        <f t="shared" si="1"/>
        <v>0.2397324973</v>
      </c>
      <c r="F12" s="46">
        <f t="shared" ref="F12:F15" si="3">C12-C11</f>
        <v>322045</v>
      </c>
      <c r="G12" s="48">
        <f t="shared" ref="G12:G15" si="4">(C12-C11)/C11</f>
        <v>0.3747319354</v>
      </c>
      <c r="H12" s="43">
        <f t="shared" si="2"/>
        <v>0.1910908918</v>
      </c>
      <c r="I12" s="51" t="s">
        <v>49</v>
      </c>
    </row>
    <row r="13" ht="19.5" customHeight="1">
      <c r="B13" s="20" t="s">
        <v>50</v>
      </c>
      <c r="C13" s="21">
        <f>SUMIFS('KPI calculated columns'!$B:$B, 'KPI calculated columns'!$M:$M, 2022)</f>
        <v>1459775</v>
      </c>
      <c r="D13" s="21">
        <f>SUMIFS('KPI calculated columns'!$C:$C, 'KPI calculated columns'!$M:$M, 2022)</f>
        <v>393113</v>
      </c>
      <c r="E13" s="22">
        <f t="shared" si="1"/>
        <v>0.2692969807</v>
      </c>
      <c r="F13" s="54">
        <f t="shared" si="3"/>
        <v>278329</v>
      </c>
      <c r="G13" s="55">
        <f t="shared" si="4"/>
        <v>0.2355833445</v>
      </c>
      <c r="H13" s="22">
        <f t="shared" si="2"/>
        <v>0.2361087232</v>
      </c>
      <c r="I13" s="25" t="s">
        <v>51</v>
      </c>
    </row>
    <row r="14" ht="19.5" customHeight="1">
      <c r="B14" s="26" t="s">
        <v>52</v>
      </c>
      <c r="C14" s="37">
        <f>SUMIFS('KPI calculated columns'!$B:$B, 'KPI calculated columns'!$M:$M, 2023)</f>
        <v>1229723</v>
      </c>
      <c r="D14" s="37">
        <f>SUMIFS('KPI calculated columns'!$C:$C, 'KPI calculated columns'!$M:$M, 2023)</f>
        <v>321671</v>
      </c>
      <c r="E14" s="43">
        <f t="shared" si="1"/>
        <v>0.2615800469</v>
      </c>
      <c r="F14" s="46">
        <f t="shared" si="3"/>
        <v>-230052</v>
      </c>
      <c r="G14" s="48">
        <f t="shared" si="4"/>
        <v>-0.1575941498</v>
      </c>
      <c r="H14" s="43">
        <f t="shared" si="2"/>
        <v>0.1988993697</v>
      </c>
      <c r="I14" s="51" t="s">
        <v>54</v>
      </c>
    </row>
    <row r="15" ht="19.5" customHeight="1">
      <c r="B15" s="20" t="s">
        <v>55</v>
      </c>
      <c r="C15" s="21">
        <f>SUMIFS('KPI calculated columns'!$B:$B, 'KPI calculated columns'!$M:$M, 2024)</f>
        <v>1202478</v>
      </c>
      <c r="D15" s="21">
        <f>SUMIFS('KPI calculated columns'!$C:$C, 'KPI calculated columns'!$M:$M, 2024)</f>
        <v>308336</v>
      </c>
      <c r="E15" s="22">
        <f t="shared" si="1"/>
        <v>0.2564171652</v>
      </c>
      <c r="F15" s="54">
        <f t="shared" si="3"/>
        <v>-27245</v>
      </c>
      <c r="G15" s="55">
        <f t="shared" si="4"/>
        <v>-0.02215539597</v>
      </c>
      <c r="H15" s="22">
        <f t="shared" si="2"/>
        <v>0.1944926754</v>
      </c>
      <c r="I15" s="25" t="s">
        <v>57</v>
      </c>
    </row>
    <row r="16" ht="19.5" customHeight="1">
      <c r="B16" s="26" t="s">
        <v>58</v>
      </c>
      <c r="C16" s="37">
        <f>SUMIFS('KPI calculated columns'!$B:$B, 'KPI calculated columns'!$M:$M, 2025)</f>
        <v>249816</v>
      </c>
      <c r="D16" s="37">
        <f>SUMIFS('KPI calculated columns'!$C:$C, 'KPI calculated columns'!$M:$M, 2025)</f>
        <v>80243</v>
      </c>
      <c r="E16" s="43">
        <f t="shared" si="1"/>
        <v>0.3212084094</v>
      </c>
      <c r="F16" s="64" t="s">
        <v>23</v>
      </c>
      <c r="G16" s="66" t="s">
        <v>23</v>
      </c>
      <c r="H16" s="43">
        <f t="shared" si="2"/>
        <v>0.04040604667</v>
      </c>
      <c r="I16" s="51" t="s">
        <v>65</v>
      </c>
    </row>
    <row r="17" ht="22.5" customHeight="1">
      <c r="B17" s="68" t="s">
        <v>66</v>
      </c>
      <c r="C17" s="70">
        <f t="shared" ref="C17:D17" si="5">SUM(C11:C16)</f>
        <v>6182639</v>
      </c>
      <c r="D17" s="70">
        <f t="shared" si="5"/>
        <v>1610697</v>
      </c>
      <c r="E17" s="72">
        <f t="shared" si="1"/>
        <v>0.2605193349</v>
      </c>
      <c r="F17" s="73" t="s">
        <v>73</v>
      </c>
      <c r="G17" s="75" t="s">
        <v>75</v>
      </c>
      <c r="H17" s="72">
        <f>SUM(H11:H16)</f>
        <v>1</v>
      </c>
      <c r="I17" s="89" t="s">
        <v>86</v>
      </c>
    </row>
    <row r="18" ht="34.5" customHeight="1">
      <c r="B18" s="92" t="s">
        <v>88</v>
      </c>
      <c r="C18" s="94"/>
      <c r="D18" s="94"/>
      <c r="E18" s="94"/>
      <c r="F18" s="94"/>
      <c r="G18" s="94"/>
      <c r="H18" s="94"/>
      <c r="I18" s="95"/>
    </row>
    <row r="19" ht="12.0" customHeight="1"/>
    <row r="20" ht="27.0" customHeight="1">
      <c r="B20" s="18" t="s">
        <v>90</v>
      </c>
    </row>
    <row r="21" ht="22.5" customHeight="1">
      <c r="B21" s="19" t="s">
        <v>92</v>
      </c>
      <c r="C21" s="19" t="s">
        <v>94</v>
      </c>
      <c r="D21" s="19" t="s">
        <v>95</v>
      </c>
      <c r="E21" s="19" t="s">
        <v>97</v>
      </c>
      <c r="F21" s="19" t="s">
        <v>98</v>
      </c>
      <c r="G21" s="19" t="s">
        <v>99</v>
      </c>
      <c r="H21" s="19" t="s">
        <v>102</v>
      </c>
      <c r="I21" s="19" t="s">
        <v>103</v>
      </c>
    </row>
    <row r="22" ht="42.0" customHeight="1">
      <c r="B22" s="101" t="s">
        <v>105</v>
      </c>
      <c r="C22" s="103" t="s">
        <v>107</v>
      </c>
      <c r="D22" s="105" t="s">
        <v>108</v>
      </c>
      <c r="E22" s="105" t="s">
        <v>111</v>
      </c>
      <c r="F22" s="105" t="s">
        <v>112</v>
      </c>
      <c r="G22" s="105" t="s">
        <v>113</v>
      </c>
      <c r="H22" s="107" t="s">
        <v>115</v>
      </c>
      <c r="I22" s="108" t="s">
        <v>118</v>
      </c>
    </row>
    <row r="23" ht="42.0" customHeight="1">
      <c r="B23" s="110" t="s">
        <v>119</v>
      </c>
      <c r="C23" s="112" t="s">
        <v>120</v>
      </c>
      <c r="D23" s="114" t="s">
        <v>121</v>
      </c>
      <c r="E23" s="114" t="s">
        <v>123</v>
      </c>
      <c r="F23" s="114" t="s">
        <v>124</v>
      </c>
      <c r="G23" s="114" t="s">
        <v>125</v>
      </c>
      <c r="H23" s="116" t="s">
        <v>126</v>
      </c>
      <c r="I23" s="117" t="s">
        <v>128</v>
      </c>
    </row>
    <row r="24" ht="42.0" customHeight="1">
      <c r="B24" s="101" t="s">
        <v>131</v>
      </c>
      <c r="C24" s="103" t="s">
        <v>132</v>
      </c>
      <c r="D24" s="105" t="s">
        <v>133</v>
      </c>
      <c r="E24" s="105" t="s">
        <v>134</v>
      </c>
      <c r="F24" s="105" t="s">
        <v>135</v>
      </c>
      <c r="G24" s="105" t="s">
        <v>136</v>
      </c>
      <c r="H24" s="116" t="s">
        <v>126</v>
      </c>
      <c r="I24" s="108" t="s">
        <v>118</v>
      </c>
    </row>
    <row r="25" ht="42.0" customHeight="1">
      <c r="B25" s="110" t="s">
        <v>138</v>
      </c>
      <c r="C25" s="112" t="s">
        <v>139</v>
      </c>
      <c r="D25" s="114" t="s">
        <v>140</v>
      </c>
      <c r="E25" s="114" t="s">
        <v>141</v>
      </c>
      <c r="F25" s="114" t="s">
        <v>142</v>
      </c>
      <c r="G25" s="114" t="s">
        <v>143</v>
      </c>
      <c r="H25" s="122" t="s">
        <v>144</v>
      </c>
      <c r="I25" s="117" t="s">
        <v>146</v>
      </c>
    </row>
    <row r="26" ht="42.0" customHeight="1">
      <c r="B26" s="126" t="s">
        <v>149</v>
      </c>
      <c r="C26" s="128" t="s">
        <v>151</v>
      </c>
      <c r="D26" s="129" t="s">
        <v>153</v>
      </c>
      <c r="E26" s="129" t="s">
        <v>154</v>
      </c>
      <c r="F26" s="129" t="s">
        <v>155</v>
      </c>
      <c r="G26" s="129" t="s">
        <v>156</v>
      </c>
      <c r="H26" s="133" t="s">
        <v>126</v>
      </c>
      <c r="I26" s="135" t="s">
        <v>128</v>
      </c>
    </row>
    <row r="27" ht="12.0" customHeight="1"/>
    <row r="28" ht="27.0" customHeight="1">
      <c r="B28" s="18" t="s">
        <v>158</v>
      </c>
    </row>
    <row r="29" ht="22.5" customHeight="1">
      <c r="B29" s="19" t="s">
        <v>160</v>
      </c>
      <c r="C29" s="19" t="s">
        <v>161</v>
      </c>
      <c r="D29" s="19" t="s">
        <v>162</v>
      </c>
      <c r="E29" s="19" t="s">
        <v>163</v>
      </c>
      <c r="F29" s="19" t="s">
        <v>164</v>
      </c>
      <c r="G29" s="19" t="s">
        <v>165</v>
      </c>
      <c r="H29" s="19" t="s">
        <v>166</v>
      </c>
      <c r="I29" s="19" t="s">
        <v>167</v>
      </c>
    </row>
    <row r="30" ht="43.5" customHeight="1">
      <c r="B30" s="101" t="s">
        <v>168</v>
      </c>
      <c r="C30" s="103" t="s">
        <v>169</v>
      </c>
      <c r="D30" s="105" t="s">
        <v>170</v>
      </c>
      <c r="E30" s="105" t="s">
        <v>171</v>
      </c>
      <c r="F30" s="105" t="s">
        <v>172</v>
      </c>
      <c r="G30" s="105" t="s">
        <v>173</v>
      </c>
      <c r="H30" s="139" t="s">
        <v>174</v>
      </c>
      <c r="I30" s="107" t="s">
        <v>115</v>
      </c>
    </row>
    <row r="31" ht="43.5" customHeight="1">
      <c r="B31" s="110" t="s">
        <v>176</v>
      </c>
      <c r="C31" s="112" t="s">
        <v>177</v>
      </c>
      <c r="D31" s="114" t="s">
        <v>178</v>
      </c>
      <c r="E31" s="114" t="s">
        <v>179</v>
      </c>
      <c r="F31" s="114" t="s">
        <v>180</v>
      </c>
      <c r="G31" s="114" t="s">
        <v>181</v>
      </c>
      <c r="H31" s="112" t="s">
        <v>182</v>
      </c>
      <c r="I31" s="116" t="s">
        <v>126</v>
      </c>
    </row>
    <row r="32" ht="43.5" customHeight="1">
      <c r="B32" s="101" t="s">
        <v>183</v>
      </c>
      <c r="C32" s="103" t="s">
        <v>184</v>
      </c>
      <c r="D32" s="105" t="s">
        <v>185</v>
      </c>
      <c r="E32" s="105" t="s">
        <v>187</v>
      </c>
      <c r="F32" s="105" t="s">
        <v>188</v>
      </c>
      <c r="G32" s="105" t="s">
        <v>189</v>
      </c>
      <c r="H32" s="139" t="s">
        <v>190</v>
      </c>
      <c r="I32" s="116" t="s">
        <v>126</v>
      </c>
    </row>
    <row r="33" ht="43.5" customHeight="1">
      <c r="B33" s="110" t="s">
        <v>192</v>
      </c>
      <c r="C33" s="112" t="s">
        <v>194</v>
      </c>
      <c r="D33" s="114" t="s">
        <v>196</v>
      </c>
      <c r="E33" s="114" t="s">
        <v>197</v>
      </c>
      <c r="F33" s="114" t="s">
        <v>199</v>
      </c>
      <c r="G33" s="114" t="s">
        <v>202</v>
      </c>
      <c r="H33" s="112" t="s">
        <v>204</v>
      </c>
      <c r="I33" s="122" t="s">
        <v>144</v>
      </c>
    </row>
    <row r="34" ht="43.5" customHeight="1">
      <c r="B34" s="126" t="s">
        <v>207</v>
      </c>
      <c r="C34" s="128" t="s">
        <v>208</v>
      </c>
      <c r="D34" s="129" t="s">
        <v>209</v>
      </c>
      <c r="E34" s="129" t="s">
        <v>211</v>
      </c>
      <c r="F34" s="129" t="s">
        <v>212</v>
      </c>
      <c r="G34" s="129" t="s">
        <v>213</v>
      </c>
      <c r="H34" s="128" t="s">
        <v>214</v>
      </c>
      <c r="I34" s="133" t="s">
        <v>126</v>
      </c>
    </row>
    <row r="35" ht="12.0" customHeight="1"/>
    <row r="36" ht="27.0" customHeight="1">
      <c r="B36" s="18" t="s">
        <v>217</v>
      </c>
    </row>
    <row r="37" ht="22.5" customHeight="1">
      <c r="B37" s="19" t="s">
        <v>221</v>
      </c>
      <c r="C37" s="19" t="s">
        <v>222</v>
      </c>
      <c r="D37" s="19" t="s">
        <v>225</v>
      </c>
      <c r="E37" s="19" t="s">
        <v>226</v>
      </c>
      <c r="F37" s="19" t="s">
        <v>227</v>
      </c>
      <c r="G37" s="19" t="s">
        <v>228</v>
      </c>
      <c r="H37" s="19" t="s">
        <v>230</v>
      </c>
      <c r="I37" s="19" t="s">
        <v>231</v>
      </c>
    </row>
    <row r="38" ht="28.5" customHeight="1">
      <c r="B38" s="150" t="s">
        <v>233</v>
      </c>
      <c r="C38" s="153" t="s">
        <v>235</v>
      </c>
      <c r="D38" s="155" t="s">
        <v>238</v>
      </c>
      <c r="E38" s="156">
        <v>45915.0</v>
      </c>
      <c r="F38" s="157" t="s">
        <v>239</v>
      </c>
      <c r="G38" s="155" t="s">
        <v>240</v>
      </c>
      <c r="H38" s="159" t="s">
        <v>115</v>
      </c>
      <c r="I38" s="160" t="s">
        <v>243</v>
      </c>
    </row>
    <row r="39" ht="28.5" customHeight="1">
      <c r="B39" s="161" t="s">
        <v>250</v>
      </c>
      <c r="C39" s="162" t="s">
        <v>255</v>
      </c>
      <c r="D39" s="164" t="s">
        <v>257</v>
      </c>
      <c r="E39" s="166">
        <v>45808.0</v>
      </c>
      <c r="F39" s="162" t="s">
        <v>262</v>
      </c>
      <c r="G39" s="164" t="s">
        <v>264</v>
      </c>
      <c r="H39" s="167" t="s">
        <v>126</v>
      </c>
      <c r="I39" s="169" t="s">
        <v>272</v>
      </c>
    </row>
    <row r="40" ht="28.5" customHeight="1">
      <c r="B40" s="150" t="s">
        <v>274</v>
      </c>
      <c r="C40" s="153" t="s">
        <v>276</v>
      </c>
      <c r="D40" s="155" t="s">
        <v>277</v>
      </c>
      <c r="E40" s="156">
        <v>45838.0</v>
      </c>
      <c r="F40" s="157" t="s">
        <v>280</v>
      </c>
      <c r="G40" s="155" t="s">
        <v>281</v>
      </c>
      <c r="H40" s="167" t="s">
        <v>126</v>
      </c>
      <c r="I40" s="172" t="s">
        <v>286</v>
      </c>
    </row>
    <row r="41" ht="28.5" customHeight="1">
      <c r="B41" s="161" t="s">
        <v>289</v>
      </c>
      <c r="C41" s="162" t="s">
        <v>291</v>
      </c>
      <c r="D41" s="164" t="s">
        <v>292</v>
      </c>
      <c r="E41" s="166">
        <v>45961.0</v>
      </c>
      <c r="F41" s="162" t="s">
        <v>294</v>
      </c>
      <c r="G41" s="164" t="s">
        <v>296</v>
      </c>
      <c r="H41" s="176" t="s">
        <v>144</v>
      </c>
      <c r="I41" s="160" t="s">
        <v>243</v>
      </c>
    </row>
    <row r="42" ht="28.5" customHeight="1">
      <c r="B42" s="150" t="s">
        <v>302</v>
      </c>
      <c r="C42" s="153" t="s">
        <v>304</v>
      </c>
      <c r="D42" s="155" t="s">
        <v>305</v>
      </c>
      <c r="E42" s="156">
        <v>45976.0</v>
      </c>
      <c r="F42" s="153" t="s">
        <v>307</v>
      </c>
      <c r="G42" s="155" t="s">
        <v>308</v>
      </c>
      <c r="H42" s="167" t="s">
        <v>126</v>
      </c>
      <c r="I42" s="172" t="s">
        <v>286</v>
      </c>
    </row>
    <row r="43" ht="28.5" customHeight="1">
      <c r="B43" s="178" t="s">
        <v>314</v>
      </c>
      <c r="C43" s="180" t="s">
        <v>320</v>
      </c>
      <c r="D43" s="181" t="s">
        <v>325</v>
      </c>
      <c r="E43" s="182">
        <v>45777.0</v>
      </c>
      <c r="F43" s="180" t="s">
        <v>332</v>
      </c>
      <c r="G43" s="181" t="s">
        <v>334</v>
      </c>
      <c r="H43" s="183" t="s">
        <v>126</v>
      </c>
      <c r="I43" s="185" t="s">
        <v>272</v>
      </c>
    </row>
    <row r="44" ht="33.0" customHeight="1">
      <c r="B44" s="188" t="s">
        <v>337</v>
      </c>
      <c r="C44" s="94"/>
      <c r="D44" s="94"/>
      <c r="E44" s="94"/>
      <c r="F44" s="94"/>
      <c r="G44" s="94"/>
      <c r="H44" s="94"/>
      <c r="I44" s="95"/>
    </row>
    <row r="45" ht="18.0" customHeight="1"/>
  </sheetData>
  <mergeCells count="20">
    <mergeCell ref="D6:E6"/>
    <mergeCell ref="F6:G6"/>
    <mergeCell ref="B2:I2"/>
    <mergeCell ref="B3:I3"/>
    <mergeCell ref="B5:C5"/>
    <mergeCell ref="D5:E5"/>
    <mergeCell ref="F5:G5"/>
    <mergeCell ref="H5:I5"/>
    <mergeCell ref="H6:I6"/>
    <mergeCell ref="B20:I20"/>
    <mergeCell ref="B28:I28"/>
    <mergeCell ref="B36:I36"/>
    <mergeCell ref="B44:I44"/>
    <mergeCell ref="B6:C6"/>
    <mergeCell ref="B7:C7"/>
    <mergeCell ref="D7:E7"/>
    <mergeCell ref="F7:G7"/>
    <mergeCell ref="H7:I7"/>
    <mergeCell ref="B9:I9"/>
    <mergeCell ref="B18:I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09694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8.0"/>
    <col customWidth="1" min="3" max="3" width="25.14"/>
    <col customWidth="1" min="4" max="4" width="30.14"/>
    <col customWidth="1" min="5" max="6" width="21.57"/>
    <col customWidth="1" min="7" max="8" width="23.71"/>
    <col customWidth="1" min="9" max="9" width="37.29"/>
    <col customWidth="1" min="10" max="10" width="3.71"/>
  </cols>
  <sheetData>
    <row r="1" ht="12.0" customHeight="1"/>
    <row r="2" ht="25.5" customHeight="1">
      <c r="B2" s="27" t="s">
        <v>26</v>
      </c>
    </row>
    <row r="3" ht="18.0" customHeight="1">
      <c r="B3" s="28" t="s">
        <v>27</v>
      </c>
    </row>
    <row r="4" ht="10.5" customHeight="1"/>
    <row r="5" ht="18.0" customHeight="1">
      <c r="B5" s="29" t="s">
        <v>28</v>
      </c>
      <c r="C5" s="30"/>
      <c r="D5" s="29" t="s">
        <v>29</v>
      </c>
      <c r="E5" s="30"/>
      <c r="F5" s="29" t="s">
        <v>30</v>
      </c>
      <c r="G5" s="30"/>
      <c r="H5" s="29" t="s">
        <v>31</v>
      </c>
      <c r="I5" s="30"/>
    </row>
    <row r="6" ht="27.0" customHeight="1">
      <c r="B6" s="31" t="s">
        <v>32</v>
      </c>
      <c r="C6" s="30"/>
      <c r="D6" s="31" t="s">
        <v>33</v>
      </c>
      <c r="E6" s="30"/>
      <c r="F6" s="32" t="s">
        <v>34</v>
      </c>
      <c r="G6" s="30"/>
      <c r="H6" s="31" t="s">
        <v>35</v>
      </c>
      <c r="I6" s="30"/>
    </row>
    <row r="7" ht="10.5" customHeight="1"/>
    <row r="8" ht="22.5" customHeight="1">
      <c r="B8" s="33" t="s">
        <v>36</v>
      </c>
    </row>
    <row r="9" ht="18.0" customHeight="1">
      <c r="B9" s="34" t="s">
        <v>37</v>
      </c>
      <c r="C9" s="35"/>
      <c r="D9" s="35"/>
      <c r="E9" s="35"/>
      <c r="F9" s="35"/>
      <c r="G9" s="35"/>
      <c r="H9" s="35"/>
      <c r="I9" s="36"/>
    </row>
    <row r="10" ht="40.5" customHeight="1">
      <c r="B10" s="38" t="s">
        <v>38</v>
      </c>
      <c r="I10" s="39"/>
    </row>
    <row r="11" ht="18.0" customHeight="1">
      <c r="B11" s="40" t="s">
        <v>39</v>
      </c>
      <c r="I11" s="39"/>
    </row>
    <row r="12" ht="48.0" customHeight="1">
      <c r="B12" s="41" t="s">
        <v>40</v>
      </c>
      <c r="C12" s="42"/>
      <c r="D12" s="42"/>
      <c r="E12" s="42"/>
      <c r="F12" s="42"/>
      <c r="G12" s="42"/>
      <c r="H12" s="42"/>
      <c r="I12" s="44"/>
    </row>
    <row r="13" ht="10.5" customHeight="1"/>
    <row r="14" ht="22.5" customHeight="1">
      <c r="B14" s="33" t="s">
        <v>41</v>
      </c>
    </row>
    <row r="15" ht="24.0" customHeight="1">
      <c r="B15" s="45" t="s">
        <v>14</v>
      </c>
      <c r="C15" s="47" t="s">
        <v>42</v>
      </c>
      <c r="D15" s="47" t="s">
        <v>43</v>
      </c>
      <c r="E15" s="45" t="s">
        <v>44</v>
      </c>
      <c r="F15" s="45" t="s">
        <v>45</v>
      </c>
      <c r="G15" s="45" t="s">
        <v>46</v>
      </c>
      <c r="H15" s="47" t="s">
        <v>47</v>
      </c>
      <c r="I15" s="49" t="s">
        <v>48</v>
      </c>
    </row>
    <row r="16" ht="24.0" customHeight="1">
      <c r="B16" s="50" t="s">
        <v>22</v>
      </c>
      <c r="C16" s="52">
        <f>SUMIFS('KPI calculated columns'!$B$2:$B$1195, 'KPI calculated columns'!$M$2:$M$1195, 2020)</f>
        <v>859401</v>
      </c>
      <c r="D16" s="53">
        <f>COUNTIFS('KPI calculated columns'!$M$2:$M$1195, 2020)</f>
        <v>171</v>
      </c>
      <c r="E16" s="56">
        <f>MINIFS('KPI calculated columns'!$H$2:$H$1195, 'KPI calculated columns'!$M$2:$M$1195, 2020)</f>
        <v>43912</v>
      </c>
      <c r="F16" s="56">
        <f>MAXIFS('KPI calculated columns'!$H$2:$H$1195, 'KPI calculated columns'!$M$2:$M$1195, 2020)</f>
        <v>44196</v>
      </c>
      <c r="G16" s="57" t="s">
        <v>53</v>
      </c>
      <c r="H16" s="52">
        <f>ROUND(C16 / (F16 - E16 + 1) * 365, 0)</f>
        <v>1100636</v>
      </c>
      <c r="I16" s="58" t="s">
        <v>56</v>
      </c>
    </row>
    <row r="17" ht="24.0" customHeight="1">
      <c r="B17" s="59" t="s">
        <v>25</v>
      </c>
      <c r="C17" s="60">
        <f>SUMIFS('KPI calculated columns'!$B$2:$B$1195, 'KPI calculated columns'!$M$2:$M$1195, 2021)</f>
        <v>1181446</v>
      </c>
      <c r="D17" s="63">
        <f>COUNTIFS('KPI calculated columns'!$M$2:$M$1195, 2021)</f>
        <v>217</v>
      </c>
      <c r="E17" s="67">
        <f>MINIFS('KPI calculated columns'!$H$2:$H$1195, 'KPI calculated columns'!$M$2:$M$1195, 2021)</f>
        <v>44199</v>
      </c>
      <c r="F17" s="67">
        <f>MAXIFS('KPI calculated columns'!$H$2:$H$1195, 'KPI calculated columns'!$M$2:$M$1195, 2021)</f>
        <v>44561</v>
      </c>
      <c r="G17" s="71" t="s">
        <v>71</v>
      </c>
      <c r="H17" s="60">
        <f t="shared" ref="H17:H20" si="1">C17</f>
        <v>1181446</v>
      </c>
      <c r="I17" s="74" t="s">
        <v>74</v>
      </c>
    </row>
    <row r="18" ht="24.0" customHeight="1">
      <c r="B18" s="50" t="s">
        <v>50</v>
      </c>
      <c r="C18" s="52">
        <f>SUMIFS('KPI calculated columns'!$B$2:$B$1195, 'KPI calculated columns'!$M$2:$M$1195, 2022)</f>
        <v>1459775</v>
      </c>
      <c r="D18" s="53">
        <f>COUNTIFS('KPI calculated columns'!$M$2:$M$1195, 2022)</f>
        <v>288</v>
      </c>
      <c r="E18" s="56">
        <f>MINIFS('KPI calculated columns'!$H$2:$H$1195, 'KPI calculated columns'!$M$2:$M$1195, 2022)</f>
        <v>44563</v>
      </c>
      <c r="F18" s="56">
        <f>MAXIFS('KPI calculated columns'!$H$2:$H$1195, 'KPI calculated columns'!$M$2:$M$1195, 2022)</f>
        <v>44923</v>
      </c>
      <c r="G18" s="71" t="s">
        <v>71</v>
      </c>
      <c r="H18" s="52">
        <f t="shared" si="1"/>
        <v>1459775</v>
      </c>
      <c r="I18" s="58" t="s">
        <v>81</v>
      </c>
    </row>
    <row r="19" ht="24.0" customHeight="1">
      <c r="B19" s="59" t="s">
        <v>52</v>
      </c>
      <c r="C19" s="60">
        <f>SUMIFS('KPI calculated columns'!$B$2:$B$1195, 'KPI calculated columns'!$M$2:$M$1195, 2023)</f>
        <v>1229723</v>
      </c>
      <c r="D19" s="63">
        <f>COUNTIFS('KPI calculated columns'!$M$2:$M$1195, 2023)</f>
        <v>234</v>
      </c>
      <c r="E19" s="67">
        <f>MINIFS('KPI calculated columns'!$H$2:$H$1195, 'KPI calculated columns'!$M$2:$M$1195, 2023)</f>
        <v>44932</v>
      </c>
      <c r="F19" s="67">
        <f>MAXIFS('KPI calculated columns'!$H$2:$H$1195, 'KPI calculated columns'!$M$2:$M$1195, 2023)</f>
        <v>45288</v>
      </c>
      <c r="G19" s="71" t="s">
        <v>71</v>
      </c>
      <c r="H19" s="60">
        <f t="shared" si="1"/>
        <v>1229723</v>
      </c>
      <c r="I19" s="74" t="s">
        <v>87</v>
      </c>
    </row>
    <row r="20" ht="24.0" customHeight="1">
      <c r="B20" s="50" t="s">
        <v>55</v>
      </c>
      <c r="C20" s="52">
        <f>SUMIFS('KPI calculated columns'!$B$2:$B$1195, 'KPI calculated columns'!$M$2:$M$1195, 2024)</f>
        <v>1202478</v>
      </c>
      <c r="D20" s="53">
        <f>COUNTIFS('KPI calculated columns'!$M$2:$M$1195, 2024)</f>
        <v>240</v>
      </c>
      <c r="E20" s="56">
        <f>MINIFS('KPI calculated columns'!$H$2:$H$1195, 'KPI calculated columns'!$M$2:$M$1195, 2024)</f>
        <v>45296</v>
      </c>
      <c r="F20" s="56">
        <f>MAXIFS('KPI calculated columns'!$H$2:$H$1195, 'KPI calculated columns'!$M$2:$M$1195, 2024)</f>
        <v>45656</v>
      </c>
      <c r="G20" s="71" t="s">
        <v>71</v>
      </c>
      <c r="H20" s="52">
        <f t="shared" si="1"/>
        <v>1202478</v>
      </c>
      <c r="I20" s="58" t="s">
        <v>100</v>
      </c>
    </row>
    <row r="21" ht="24.0" customHeight="1">
      <c r="B21" s="59" t="s">
        <v>101</v>
      </c>
      <c r="C21" s="60">
        <f>SUMIFS('KPI calculated columns'!$B$2:$B$1195, 'KPI calculated columns'!$M$2:$M$1195, 2025)</f>
        <v>249816</v>
      </c>
      <c r="D21" s="63">
        <f>COUNTIFS('KPI calculated columns'!$M$2:$M$1195, 2025)</f>
        <v>44</v>
      </c>
      <c r="E21" s="67">
        <f>MINIFS('KPI calculated columns'!$H$2:$H$1195, 'KPI calculated columns'!$M$2:$M$1195, 2025)</f>
        <v>45660</v>
      </c>
      <c r="F21" s="67">
        <f>MAXIFS('KPI calculated columns'!$H$2:$H$1195, 'KPI calculated columns'!$M$2:$M$1195, 2025)</f>
        <v>45731</v>
      </c>
      <c r="G21" s="57" t="s">
        <v>129</v>
      </c>
      <c r="H21" s="60">
        <f>ROUND(C21 / (F21 - E21 + 1) * 365, 0)</f>
        <v>1266428</v>
      </c>
      <c r="I21" s="74" t="s">
        <v>145</v>
      </c>
    </row>
    <row r="22" ht="31.5" customHeight="1">
      <c r="B22" s="125" t="s">
        <v>148</v>
      </c>
      <c r="C22" s="131">
        <f t="shared" ref="C22:D22" si="2">SUM(C16:C21)</f>
        <v>6182639</v>
      </c>
      <c r="D22" s="134">
        <f t="shared" si="2"/>
        <v>1194</v>
      </c>
      <c r="E22" s="137">
        <f>MIN(E16:E21)</f>
        <v>43912</v>
      </c>
      <c r="F22" s="137">
        <f>MAX(F16:F21)</f>
        <v>45731</v>
      </c>
      <c r="G22" s="125" t="s">
        <v>175</v>
      </c>
      <c r="H22" s="131">
        <f>AVERAGE(H16:H21)</f>
        <v>1240081</v>
      </c>
      <c r="I22" s="141" t="s">
        <v>186</v>
      </c>
    </row>
    <row r="23" ht="10.5" customHeight="1"/>
    <row r="24" ht="22.5" customHeight="1">
      <c r="B24" s="33" t="s">
        <v>191</v>
      </c>
    </row>
    <row r="25" ht="24.0" customHeight="1">
      <c r="B25" s="45" t="s">
        <v>193</v>
      </c>
      <c r="C25" s="49" t="s">
        <v>195</v>
      </c>
      <c r="D25" s="49" t="s">
        <v>198</v>
      </c>
      <c r="E25" s="49" t="s">
        <v>200</v>
      </c>
      <c r="F25" s="49" t="s">
        <v>201</v>
      </c>
      <c r="G25" s="45" t="s">
        <v>203</v>
      </c>
      <c r="H25" s="49" t="s">
        <v>205</v>
      </c>
      <c r="I25" s="45" t="s">
        <v>206</v>
      </c>
    </row>
    <row r="26" ht="69.0" customHeight="1">
      <c r="B26" s="144" t="s">
        <v>210</v>
      </c>
      <c r="C26" s="145" t="s">
        <v>215</v>
      </c>
      <c r="D26" s="145" t="s">
        <v>218</v>
      </c>
      <c r="E26" s="145" t="s">
        <v>219</v>
      </c>
      <c r="F26" s="145" t="s">
        <v>220</v>
      </c>
      <c r="G26" s="148" t="s">
        <v>224</v>
      </c>
      <c r="H26" s="145" t="s">
        <v>229</v>
      </c>
      <c r="I26" s="149" t="s">
        <v>232</v>
      </c>
    </row>
    <row r="27" ht="69.0" customHeight="1">
      <c r="B27" s="152" t="s">
        <v>234</v>
      </c>
      <c r="C27" s="154" t="s">
        <v>236</v>
      </c>
      <c r="D27" s="154" t="s">
        <v>237</v>
      </c>
      <c r="E27" s="154" t="s">
        <v>244</v>
      </c>
      <c r="F27" s="154" t="s">
        <v>245</v>
      </c>
      <c r="G27" s="148" t="s">
        <v>246</v>
      </c>
      <c r="H27" s="154" t="s">
        <v>247</v>
      </c>
      <c r="I27" s="149" t="s">
        <v>248</v>
      </c>
    </row>
    <row r="28" ht="69.0" customHeight="1">
      <c r="B28" s="144" t="s">
        <v>249</v>
      </c>
      <c r="C28" s="145" t="s">
        <v>251</v>
      </c>
      <c r="D28" s="145" t="s">
        <v>252</v>
      </c>
      <c r="E28" s="145" t="s">
        <v>253</v>
      </c>
      <c r="F28" s="145" t="s">
        <v>254</v>
      </c>
      <c r="G28" s="163" t="s">
        <v>256</v>
      </c>
      <c r="H28" s="145" t="s">
        <v>258</v>
      </c>
      <c r="I28" s="165" t="s">
        <v>259</v>
      </c>
    </row>
    <row r="29" ht="69.0" customHeight="1">
      <c r="B29" s="152" t="s">
        <v>260</v>
      </c>
      <c r="C29" s="154" t="s">
        <v>261</v>
      </c>
      <c r="D29" s="154" t="s">
        <v>263</v>
      </c>
      <c r="E29" s="154" t="s">
        <v>265</v>
      </c>
      <c r="F29" s="154" t="s">
        <v>266</v>
      </c>
      <c r="G29" s="148" t="s">
        <v>224</v>
      </c>
      <c r="H29" s="154" t="s">
        <v>268</v>
      </c>
      <c r="I29" s="165" t="s">
        <v>269</v>
      </c>
    </row>
    <row r="30" ht="10.5" customHeight="1"/>
    <row r="31" ht="22.5" customHeight="1">
      <c r="B31" s="33" t="s">
        <v>270</v>
      </c>
    </row>
    <row r="32" ht="24.0" customHeight="1">
      <c r="B32" s="45" t="s">
        <v>273</v>
      </c>
      <c r="C32" s="49" t="s">
        <v>275</v>
      </c>
      <c r="D32" s="49" t="s">
        <v>278</v>
      </c>
      <c r="E32" s="45" t="s">
        <v>279</v>
      </c>
      <c r="F32" s="45" t="s">
        <v>103</v>
      </c>
      <c r="G32" s="49" t="s">
        <v>282</v>
      </c>
      <c r="H32" s="45" t="s">
        <v>283</v>
      </c>
      <c r="I32" s="45" t="s">
        <v>284</v>
      </c>
    </row>
    <row r="33" ht="66.0" customHeight="1">
      <c r="B33" s="144" t="s">
        <v>285</v>
      </c>
      <c r="C33" s="145" t="s">
        <v>287</v>
      </c>
      <c r="D33" s="145" t="s">
        <v>288</v>
      </c>
      <c r="E33" s="173" t="s">
        <v>290</v>
      </c>
      <c r="F33" s="173" t="s">
        <v>293</v>
      </c>
      <c r="G33" s="145" t="s">
        <v>295</v>
      </c>
      <c r="H33" s="148" t="s">
        <v>297</v>
      </c>
      <c r="I33" s="175" t="s">
        <v>298</v>
      </c>
    </row>
    <row r="34" ht="66.0" customHeight="1">
      <c r="B34" s="152" t="s">
        <v>300</v>
      </c>
      <c r="C34" s="154" t="s">
        <v>301</v>
      </c>
      <c r="D34" s="154" t="s">
        <v>303</v>
      </c>
      <c r="E34" s="177" t="s">
        <v>306</v>
      </c>
      <c r="F34" s="177" t="s">
        <v>310</v>
      </c>
      <c r="G34" s="154" t="s">
        <v>311</v>
      </c>
      <c r="H34" s="148" t="s">
        <v>297</v>
      </c>
      <c r="I34" s="175" t="s">
        <v>312</v>
      </c>
    </row>
    <row r="35" ht="66.0" customHeight="1">
      <c r="B35" s="144" t="s">
        <v>315</v>
      </c>
      <c r="C35" s="145" t="s">
        <v>316</v>
      </c>
      <c r="D35" s="145" t="s">
        <v>318</v>
      </c>
      <c r="E35" s="173" t="s">
        <v>319</v>
      </c>
      <c r="F35" s="173" t="s">
        <v>293</v>
      </c>
      <c r="G35" s="145" t="s">
        <v>321</v>
      </c>
      <c r="H35" s="163" t="s">
        <v>322</v>
      </c>
      <c r="I35" s="175" t="s">
        <v>323</v>
      </c>
    </row>
    <row r="36" ht="66.0" customHeight="1">
      <c r="B36" s="152" t="s">
        <v>324</v>
      </c>
      <c r="C36" s="154" t="s">
        <v>326</v>
      </c>
      <c r="D36" s="154" t="s">
        <v>327</v>
      </c>
      <c r="E36" s="177" t="s">
        <v>328</v>
      </c>
      <c r="F36" s="177" t="s">
        <v>329</v>
      </c>
      <c r="G36" s="154" t="s">
        <v>330</v>
      </c>
      <c r="H36" s="163" t="s">
        <v>322</v>
      </c>
      <c r="I36" s="175" t="s">
        <v>331</v>
      </c>
    </row>
    <row r="37" ht="10.5" customHeight="1"/>
    <row r="38" ht="22.5" customHeight="1">
      <c r="B38" s="33" t="s">
        <v>333</v>
      </c>
    </row>
    <row r="39" ht="36.0" customHeight="1">
      <c r="B39" s="184" t="s">
        <v>335</v>
      </c>
      <c r="C39" s="186" t="s">
        <v>336</v>
      </c>
      <c r="D39" s="187"/>
      <c r="E39" s="187"/>
      <c r="F39" s="187"/>
      <c r="G39" s="187"/>
      <c r="H39" s="187"/>
      <c r="I39" s="30"/>
    </row>
    <row r="40" ht="36.0" customHeight="1">
      <c r="B40" s="184" t="s">
        <v>339</v>
      </c>
      <c r="C40" s="186" t="s">
        <v>340</v>
      </c>
      <c r="D40" s="187"/>
      <c r="E40" s="187"/>
      <c r="F40" s="187"/>
      <c r="G40" s="187"/>
      <c r="H40" s="187"/>
      <c r="I40" s="30"/>
    </row>
    <row r="41" ht="36.0" customHeight="1">
      <c r="B41" s="184" t="s">
        <v>341</v>
      </c>
      <c r="C41" s="186" t="s">
        <v>342</v>
      </c>
      <c r="D41" s="187"/>
      <c r="E41" s="187"/>
      <c r="F41" s="187"/>
      <c r="G41" s="187"/>
      <c r="H41" s="187"/>
      <c r="I41" s="30"/>
    </row>
    <row r="42" ht="36.0" customHeight="1">
      <c r="B42" s="184" t="s">
        <v>343</v>
      </c>
      <c r="C42" s="186" t="s">
        <v>345</v>
      </c>
      <c r="D42" s="187"/>
      <c r="E42" s="187"/>
      <c r="F42" s="187"/>
      <c r="G42" s="187"/>
      <c r="H42" s="187"/>
      <c r="I42" s="30"/>
    </row>
  </sheetData>
  <mergeCells count="23">
    <mergeCell ref="D6:E6"/>
    <mergeCell ref="F6:G6"/>
    <mergeCell ref="B2:I2"/>
    <mergeCell ref="B3:I3"/>
    <mergeCell ref="B5:C5"/>
    <mergeCell ref="D5:E5"/>
    <mergeCell ref="F5:G5"/>
    <mergeCell ref="H5:I5"/>
    <mergeCell ref="B6:C6"/>
    <mergeCell ref="B24:I24"/>
    <mergeCell ref="B31:I31"/>
    <mergeCell ref="B38:I38"/>
    <mergeCell ref="C39:I39"/>
    <mergeCell ref="C40:I40"/>
    <mergeCell ref="C41:I41"/>
    <mergeCell ref="C42:I42"/>
    <mergeCell ref="H6:I6"/>
    <mergeCell ref="B8:I8"/>
    <mergeCell ref="B9:I9"/>
    <mergeCell ref="B10:I10"/>
    <mergeCell ref="B11:I11"/>
    <mergeCell ref="B12:I12"/>
    <mergeCell ref="B14:I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C08A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2.29"/>
    <col customWidth="1" min="3" max="4" width="18.0"/>
    <col customWidth="1" min="5" max="5" width="15.86"/>
    <col customWidth="1" min="6" max="6" width="3.71"/>
    <col customWidth="1" min="7" max="7" width="22.29"/>
    <col customWidth="1" min="8" max="8" width="13.0"/>
    <col customWidth="1" min="9" max="9" width="20.86"/>
    <col customWidth="1" min="10" max="10" width="13.0"/>
    <col customWidth="1" min="11" max="11" width="3.71"/>
  </cols>
  <sheetData>
    <row r="1" ht="12.0" customHeight="1"/>
    <row r="2" ht="31.5" customHeight="1">
      <c r="B2" s="82" t="s">
        <v>82</v>
      </c>
    </row>
    <row r="3" ht="16.5" customHeight="1">
      <c r="B3" s="83"/>
    </row>
    <row r="4" ht="12.0" customHeight="1"/>
    <row r="5" ht="19.5" customHeight="1">
      <c r="B5" s="85" t="s">
        <v>83</v>
      </c>
      <c r="C5" s="86"/>
      <c r="D5" s="85" t="s">
        <v>84</v>
      </c>
      <c r="E5" s="86"/>
      <c r="F5" s="87"/>
      <c r="G5" s="85" t="s">
        <v>79</v>
      </c>
      <c r="H5" s="86"/>
      <c r="I5" s="85" t="s">
        <v>85</v>
      </c>
      <c r="J5" s="86"/>
    </row>
    <row r="6" ht="31.5" customHeight="1">
      <c r="B6" s="90">
        <f>SUM('KPI calculated columns'!B:B)</f>
        <v>6182639</v>
      </c>
      <c r="C6" s="91"/>
      <c r="D6" s="90">
        <f>SUM('KPI calculated columns'!C:C)</f>
        <v>1610697</v>
      </c>
      <c r="E6" s="91"/>
      <c r="F6" s="97"/>
      <c r="G6" s="99">
        <f>AVERAGE('KPI calculated columns'!P:P)</f>
        <v>0.260570919</v>
      </c>
      <c r="H6" s="91"/>
      <c r="I6" s="102">
        <f>SUM('KPI calculated columns'!D:D)</f>
        <v>12745</v>
      </c>
      <c r="J6" s="91"/>
    </row>
    <row r="7" ht="16.5" customHeight="1">
      <c r="B7" s="111" t="s">
        <v>109</v>
      </c>
      <c r="C7" s="113"/>
      <c r="D7" s="111" t="s">
        <v>122</v>
      </c>
      <c r="E7" s="113"/>
      <c r="F7" s="115"/>
      <c r="G7" s="111" t="s">
        <v>127</v>
      </c>
      <c r="H7" s="113"/>
      <c r="I7" s="111" t="s">
        <v>130</v>
      </c>
      <c r="J7" s="113"/>
    </row>
    <row r="8" ht="15.0" customHeight="1"/>
    <row r="9" ht="21.0" customHeight="1">
      <c r="B9" s="119" t="s">
        <v>137</v>
      </c>
      <c r="C9" s="120"/>
      <c r="D9" s="120"/>
      <c r="E9" s="121"/>
    </row>
    <row r="10" ht="21.0" customHeight="1">
      <c r="B10" s="123" t="s">
        <v>147</v>
      </c>
      <c r="C10" s="127" t="s">
        <v>150</v>
      </c>
      <c r="D10" s="127" t="s">
        <v>152</v>
      </c>
      <c r="E10" s="130" t="s">
        <v>116</v>
      </c>
    </row>
    <row r="11" ht="18.0" customHeight="1">
      <c r="B11" s="132" t="s">
        <v>157</v>
      </c>
      <c r="C11" s="138">
        <f>SUMIF('KPI calculated columns'!$E:$E, B11, 'KPI calculated columns'!$B:$B)</f>
        <v>2054456</v>
      </c>
      <c r="D11" s="138">
        <f>SUMIF('KPI calculated columns'!$E:$E, B11, 'KPI calculated columns'!$C:$C)</f>
        <v>518580</v>
      </c>
      <c r="E11" s="143">
        <f t="shared" ref="E11:E14" si="1">IFERROR(D11/C11, 0)</f>
        <v>0.2524171849</v>
      </c>
    </row>
    <row r="12" ht="18.0" customHeight="1">
      <c r="B12" s="146" t="s">
        <v>216</v>
      </c>
      <c r="C12" s="151">
        <f>SUMIF('KPI calculated columns'!$E:$E, B12, 'KPI calculated columns'!$B:$B)</f>
        <v>2038673</v>
      </c>
      <c r="D12" s="151">
        <f>SUMIF('KPI calculated columns'!$E:$E, B12, 'KPI calculated columns'!$C:$C)</f>
        <v>540542</v>
      </c>
      <c r="E12" s="158">
        <f t="shared" si="1"/>
        <v>0.2651440422</v>
      </c>
    </row>
    <row r="13" ht="18.0" customHeight="1">
      <c r="B13" s="132" t="s">
        <v>242</v>
      </c>
      <c r="C13" s="138">
        <f>SUMIF('KPI calculated columns'!$E:$E, B13, 'KPI calculated columns'!$B:$B)</f>
        <v>2089510</v>
      </c>
      <c r="D13" s="138">
        <f>SUMIF('KPI calculated columns'!$E:$E, B13, 'KPI calculated columns'!$C:$C)</f>
        <v>551575</v>
      </c>
      <c r="E13" s="143">
        <f t="shared" si="1"/>
        <v>0.2639733717</v>
      </c>
    </row>
    <row r="14" ht="19.5" customHeight="1">
      <c r="B14" s="168" t="s">
        <v>267</v>
      </c>
      <c r="C14" s="171">
        <f t="shared" ref="C14:D14" si="2">SUM(C11:C13)</f>
        <v>6182639</v>
      </c>
      <c r="D14" s="171">
        <f t="shared" si="2"/>
        <v>1610697</v>
      </c>
      <c r="E14" s="174">
        <f t="shared" si="1"/>
        <v>0.2605193349</v>
      </c>
    </row>
    <row r="15" ht="15.0" customHeight="1"/>
    <row r="16" ht="21.0" customHeight="1">
      <c r="B16" s="119" t="s">
        <v>299</v>
      </c>
      <c r="C16" s="120"/>
      <c r="D16" s="120"/>
      <c r="E16" s="121"/>
    </row>
    <row r="17" ht="21.0" customHeight="1">
      <c r="B17" s="123" t="s">
        <v>309</v>
      </c>
      <c r="C17" s="127" t="s">
        <v>150</v>
      </c>
      <c r="D17" s="127" t="s">
        <v>152</v>
      </c>
      <c r="E17" s="130" t="s">
        <v>116</v>
      </c>
    </row>
    <row r="18" ht="16.5" customHeight="1">
      <c r="B18" s="132" t="s">
        <v>317</v>
      </c>
      <c r="C18" s="138">
        <f>SUMIF('KPI calculated columns'!$F:$F, B18, 'KPI calculated columns'!$B:$B)</f>
        <v>627875</v>
      </c>
      <c r="D18" s="138">
        <f>SUMIF('KPI calculated columns'!$F:$F, B18, 'KPI calculated columns'!$C:$C)</f>
        <v>174749</v>
      </c>
      <c r="E18" s="143">
        <f t="shared" ref="E18:E30" si="3">IFERROR(D18/C18, 0)</f>
        <v>0.2783181366</v>
      </c>
    </row>
    <row r="19" ht="16.5" customHeight="1">
      <c r="B19" s="146" t="s">
        <v>344</v>
      </c>
      <c r="C19" s="151">
        <f>SUMIF('KPI calculated columns'!$F:$F, B19, 'KPI calculated columns'!$B:$B)</f>
        <v>625177</v>
      </c>
      <c r="D19" s="151">
        <f>SUMIF('KPI calculated columns'!$F:$F, B19, 'KPI calculated columns'!$C:$C)</f>
        <v>156796</v>
      </c>
      <c r="E19" s="158">
        <f t="shared" si="3"/>
        <v>0.2508025727</v>
      </c>
    </row>
    <row r="20" ht="16.5" customHeight="1">
      <c r="B20" s="132" t="s">
        <v>347</v>
      </c>
      <c r="C20" s="138">
        <f>SUMIF('KPI calculated columns'!$F:$F, B20, 'KPI calculated columns'!$B:$B)</f>
        <v>568367</v>
      </c>
      <c r="D20" s="138">
        <f>SUMIF('KPI calculated columns'!$F:$F, B20, 'KPI calculated columns'!$C:$C)</f>
        <v>142854</v>
      </c>
      <c r="E20" s="143">
        <f t="shared" si="3"/>
        <v>0.2513411229</v>
      </c>
    </row>
    <row r="21" ht="16.5" customHeight="1">
      <c r="B21" s="146" t="s">
        <v>354</v>
      </c>
      <c r="C21" s="151">
        <f>SUMIF('KPI calculated columns'!$F:$F, B21, 'KPI calculated columns'!$B:$B)</f>
        <v>566359</v>
      </c>
      <c r="D21" s="151">
        <f>SUMIF('KPI calculated columns'!$F:$F, B21, 'KPI calculated columns'!$C:$C)</f>
        <v>146259</v>
      </c>
      <c r="E21" s="158">
        <f t="shared" si="3"/>
        <v>0.2582443291</v>
      </c>
    </row>
    <row r="22" ht="16.5" customHeight="1">
      <c r="B22" s="132" t="s">
        <v>355</v>
      </c>
      <c r="C22" s="138">
        <f>SUMIF('KPI calculated columns'!$F:$F, B22, 'KPI calculated columns'!$B:$B)</f>
        <v>565092</v>
      </c>
      <c r="D22" s="138">
        <f>SUMIF('KPI calculated columns'!$F:$F, B22, 'KPI calculated columns'!$C:$C)</f>
        <v>148454</v>
      </c>
      <c r="E22" s="143">
        <f t="shared" si="3"/>
        <v>0.2627076653</v>
      </c>
    </row>
    <row r="23" ht="16.5" customHeight="1">
      <c r="B23" s="146" t="s">
        <v>356</v>
      </c>
      <c r="C23" s="151">
        <f>SUMIF('KPI calculated columns'!$F:$F, B23, 'KPI calculated columns'!$B:$B)</f>
        <v>552269</v>
      </c>
      <c r="D23" s="151">
        <f>SUMIF('KPI calculated columns'!$F:$F, B23, 'KPI calculated columns'!$C:$C)</f>
        <v>129846</v>
      </c>
      <c r="E23" s="158">
        <f t="shared" si="3"/>
        <v>0.2351136855</v>
      </c>
    </row>
    <row r="24" ht="16.5" customHeight="1">
      <c r="B24" s="132" t="s">
        <v>357</v>
      </c>
      <c r="C24" s="138">
        <f>SUMIF('KPI calculated columns'!$F:$F, B24, 'KPI calculated columns'!$B:$B)</f>
        <v>524755</v>
      </c>
      <c r="D24" s="138">
        <f>SUMIF('KPI calculated columns'!$F:$F, B24, 'KPI calculated columns'!$C:$C)</f>
        <v>149723</v>
      </c>
      <c r="E24" s="143">
        <f t="shared" si="3"/>
        <v>0.2853198159</v>
      </c>
    </row>
    <row r="25" ht="16.5" customHeight="1">
      <c r="B25" s="146" t="s">
        <v>358</v>
      </c>
      <c r="C25" s="151">
        <f>SUMIF('KPI calculated columns'!$F:$F, B25, 'KPI calculated columns'!$B:$B)</f>
        <v>503055</v>
      </c>
      <c r="D25" s="151">
        <f>SUMIF('KPI calculated columns'!$F:$F, B25, 'KPI calculated columns'!$C:$C)</f>
        <v>113607</v>
      </c>
      <c r="E25" s="158">
        <f t="shared" si="3"/>
        <v>0.2258341533</v>
      </c>
    </row>
    <row r="26" ht="16.5" customHeight="1">
      <c r="B26" s="132" t="s">
        <v>359</v>
      </c>
      <c r="C26" s="138">
        <f>SUMIF('KPI calculated columns'!$F:$F, B26, 'KPI calculated columns'!$B:$B)</f>
        <v>431964</v>
      </c>
      <c r="D26" s="138">
        <f>SUMIF('KPI calculated columns'!$F:$F, B26, 'KPI calculated columns'!$C:$C)</f>
        <v>122892</v>
      </c>
      <c r="E26" s="143">
        <f t="shared" si="3"/>
        <v>0.2844959302</v>
      </c>
    </row>
    <row r="27" ht="16.5" customHeight="1">
      <c r="B27" s="146" t="s">
        <v>360</v>
      </c>
      <c r="C27" s="151">
        <f>SUMIF('KPI calculated columns'!$F:$F, B27, 'KPI calculated columns'!$B:$B)</f>
        <v>419950</v>
      </c>
      <c r="D27" s="151">
        <f>SUMIF('KPI calculated columns'!$F:$F, B27, 'KPI calculated columns'!$C:$C)</f>
        <v>110260</v>
      </c>
      <c r="E27" s="158">
        <f t="shared" si="3"/>
        <v>0.2625550661</v>
      </c>
    </row>
    <row r="28" ht="16.5" customHeight="1">
      <c r="B28" s="132" t="s">
        <v>361</v>
      </c>
      <c r="C28" s="138">
        <f>SUMIF('KPI calculated columns'!$F:$F, B28, 'KPI calculated columns'!$B:$B)</f>
        <v>413165</v>
      </c>
      <c r="D28" s="138">
        <f>SUMIF('KPI calculated columns'!$F:$F, B28, 'KPI calculated columns'!$C:$C)</f>
        <v>118000</v>
      </c>
      <c r="E28" s="143">
        <f t="shared" si="3"/>
        <v>0.2856001839</v>
      </c>
    </row>
    <row r="29" ht="16.5" customHeight="1">
      <c r="B29" s="146" t="s">
        <v>362</v>
      </c>
      <c r="C29" s="151">
        <f>SUMIF('KPI calculated columns'!$F:$F, B29, 'KPI calculated columns'!$B:$B)</f>
        <v>384611</v>
      </c>
      <c r="D29" s="151">
        <f>SUMIF('KPI calculated columns'!$F:$F, B29, 'KPI calculated columns'!$C:$C)</f>
        <v>97257</v>
      </c>
      <c r="E29" s="158">
        <f t="shared" si="3"/>
        <v>0.2528710827</v>
      </c>
    </row>
    <row r="30" ht="19.5" customHeight="1">
      <c r="B30" s="168" t="s">
        <v>267</v>
      </c>
      <c r="C30" s="171">
        <f t="shared" ref="C30:D30" si="4">SUM(C18:C29)</f>
        <v>6182639</v>
      </c>
      <c r="D30" s="171">
        <f t="shared" si="4"/>
        <v>1610697</v>
      </c>
      <c r="E30" s="174">
        <f t="shared" si="3"/>
        <v>0.2605193349</v>
      </c>
    </row>
    <row r="31" ht="18.75" customHeight="1"/>
    <row r="32">
      <c r="B32" s="194" t="s">
        <v>364</v>
      </c>
      <c r="C32" s="195"/>
    </row>
    <row r="33">
      <c r="C33" s="205"/>
    </row>
    <row r="34">
      <c r="C34" s="207"/>
    </row>
    <row r="35">
      <c r="C35" s="207"/>
    </row>
    <row r="36">
      <c r="C36" s="207"/>
    </row>
    <row r="37">
      <c r="C37" s="207"/>
    </row>
    <row r="38">
      <c r="C38" s="207"/>
    </row>
    <row r="39">
      <c r="C39" s="207"/>
    </row>
    <row r="40">
      <c r="C40" s="207"/>
    </row>
    <row r="41">
      <c r="C41" s="207"/>
    </row>
    <row r="42">
      <c r="C42" s="207"/>
    </row>
    <row r="43">
      <c r="C43" s="207"/>
    </row>
    <row r="44">
      <c r="C44" s="207"/>
    </row>
    <row r="45">
      <c r="C45" s="207"/>
    </row>
    <row r="46">
      <c r="C46" s="207"/>
    </row>
    <row r="47">
      <c r="C47" s="207"/>
    </row>
    <row r="48">
      <c r="C48" s="207"/>
    </row>
    <row r="49">
      <c r="C49" s="207"/>
    </row>
    <row r="50">
      <c r="C50" s="207"/>
    </row>
    <row r="51">
      <c r="C51" s="207"/>
    </row>
    <row r="52">
      <c r="C52" s="207"/>
    </row>
    <row r="53">
      <c r="C53" s="207"/>
    </row>
    <row r="54">
      <c r="C54" s="207"/>
    </row>
    <row r="55">
      <c r="C55" s="207"/>
    </row>
    <row r="56">
      <c r="C56" s="207"/>
    </row>
    <row r="57">
      <c r="C57" s="207"/>
    </row>
    <row r="58">
      <c r="C58" s="207"/>
    </row>
    <row r="59">
      <c r="C59" s="207"/>
    </row>
    <row r="60">
      <c r="C60" s="207"/>
    </row>
    <row r="61">
      <c r="C61" s="207"/>
    </row>
    <row r="62">
      <c r="C62" s="207"/>
    </row>
    <row r="63">
      <c r="C63" s="207"/>
    </row>
    <row r="64">
      <c r="C64" s="207"/>
    </row>
    <row r="65">
      <c r="C65" s="207"/>
    </row>
    <row r="66">
      <c r="C66" s="207"/>
    </row>
    <row r="67">
      <c r="C67" s="210"/>
    </row>
    <row r="68">
      <c r="C68" s="207"/>
    </row>
    <row r="69">
      <c r="C69" s="207"/>
    </row>
    <row r="70">
      <c r="C70" s="207"/>
    </row>
    <row r="71">
      <c r="C71" s="207"/>
    </row>
    <row r="72">
      <c r="C72" s="207"/>
    </row>
    <row r="73">
      <c r="C73" s="207"/>
    </row>
    <row r="74">
      <c r="C74" s="207"/>
    </row>
    <row r="75">
      <c r="C75" s="207"/>
    </row>
    <row r="76">
      <c r="C76" s="207"/>
    </row>
    <row r="77">
      <c r="C77" s="207"/>
    </row>
    <row r="78">
      <c r="C78" s="207"/>
    </row>
    <row r="79">
      <c r="C79" s="207"/>
    </row>
    <row r="80">
      <c r="C80" s="207"/>
    </row>
    <row r="81">
      <c r="C81" s="207"/>
    </row>
    <row r="82">
      <c r="C82" s="207"/>
    </row>
    <row r="83">
      <c r="C83" s="207"/>
    </row>
    <row r="84">
      <c r="C84" s="207"/>
    </row>
    <row r="85">
      <c r="C85" s="207"/>
    </row>
    <row r="86">
      <c r="C86" s="207"/>
    </row>
    <row r="87">
      <c r="C87" s="207"/>
    </row>
    <row r="88">
      <c r="C88" s="207"/>
    </row>
    <row r="89">
      <c r="C89" s="207"/>
    </row>
    <row r="90">
      <c r="C90" s="207"/>
    </row>
    <row r="91">
      <c r="C91" s="207"/>
    </row>
    <row r="92">
      <c r="C92" s="207"/>
    </row>
    <row r="93">
      <c r="C93" s="207"/>
    </row>
    <row r="94">
      <c r="C94" s="207"/>
    </row>
    <row r="95">
      <c r="C95" s="215">
        <f>SUM(C34:C94)</f>
        <v>0</v>
      </c>
    </row>
  </sheetData>
  <mergeCells count="16">
    <mergeCell ref="G5:H5"/>
    <mergeCell ref="G6:H6"/>
    <mergeCell ref="G7:H7"/>
    <mergeCell ref="I7:J7"/>
    <mergeCell ref="B6:C6"/>
    <mergeCell ref="B7:C7"/>
    <mergeCell ref="D7:E7"/>
    <mergeCell ref="B9:E9"/>
    <mergeCell ref="B16:E16"/>
    <mergeCell ref="B2:J2"/>
    <mergeCell ref="B3:J3"/>
    <mergeCell ref="B5:C5"/>
    <mergeCell ref="D5:E5"/>
    <mergeCell ref="I5:J5"/>
    <mergeCell ref="D6:E6"/>
    <mergeCell ref="I6:J6"/>
  </mergeCell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5AD4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5.86"/>
    <col customWidth="1" min="2" max="2" width="18.0"/>
    <col customWidth="1" min="10" max="10" width="20.86"/>
    <col customWidth="1" min="11" max="11" width="18.0"/>
  </cols>
  <sheetData>
    <row r="1" ht="30.0" customHeight="1">
      <c r="A1" s="218"/>
      <c r="B1" s="82" t="s">
        <v>391</v>
      </c>
      <c r="C1" s="218"/>
      <c r="D1" s="218"/>
      <c r="E1" s="220"/>
      <c r="F1" s="220"/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</sheetData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8095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7.29"/>
    <col customWidth="1" min="2" max="2" width="18.71"/>
    <col customWidth="1" min="3" max="3" width="4.43"/>
    <col customWidth="1" min="4" max="4" width="23.0"/>
    <col customWidth="1" min="5" max="5" width="18.71"/>
    <col customWidth="1" min="6" max="6" width="4.43"/>
    <col customWidth="1" min="7" max="7" width="20.14"/>
    <col customWidth="1" min="8" max="8" width="18.71"/>
  </cols>
  <sheetData>
    <row r="1"/>
    <row r="2"/>
    <row r="3"/>
    <row r="4"/>
    <row r="5">
      <c r="G5" s="227" t="s">
        <v>267</v>
      </c>
      <c r="H5" s="228">
        <f>SUM(H2:H4)</f>
        <v>6182639</v>
      </c>
    </row>
    <row r="6"/>
    <row r="7">
      <c r="A7" s="227" t="s">
        <v>267</v>
      </c>
      <c r="B7" s="228">
        <f>SUM(B2:B6)</f>
        <v>6182639</v>
      </c>
    </row>
    <row r="8"/>
    <row r="9"/>
    <row r="10"/>
    <row r="11" hidden="1"/>
    <row r="12" hidden="1"/>
    <row r="13" hidden="1"/>
    <row r="14" hidden="1">
      <c r="D14" s="232" t="s">
        <v>267</v>
      </c>
      <c r="E14" s="233">
        <f>SUM(E2:E13)</f>
        <v>6182639</v>
      </c>
    </row>
    <row r="15"/>
    <row r="16"/>
    <row r="17">
      <c r="A17" s="227" t="s">
        <v>267</v>
      </c>
      <c r="B17" s="228">
        <f>SUM(B11:B16)</f>
        <v>6182639</v>
      </c>
    </row>
  </sheetData>
  <autoFilter ref="$A$10:$B$16">
    <filterColumn colId="0">
      <filters>
        <filter val="2025"/>
        <filter val="2020"/>
      </filters>
    </filterColumn>
  </autoFilter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ADC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43"/>
    <col customWidth="1" min="2" max="2" width="9.0"/>
    <col customWidth="1" min="3" max="3" width="8.14"/>
    <col customWidth="1" min="4" max="4" width="9.57"/>
    <col customWidth="1" min="5" max="5" width="15.0"/>
    <col customWidth="1" min="6" max="6" width="17.0"/>
    <col customWidth="1" min="7" max="7" width="14.57"/>
    <col customWidth="1" min="8" max="8" width="19.43"/>
    <col customWidth="1" min="9" max="9" width="22.71"/>
    <col customWidth="1" min="10" max="10" width="10.43"/>
    <col customWidth="1" min="11" max="11" width="14.14"/>
    <col customWidth="1" min="12" max="12" width="12.43"/>
    <col customWidth="1" min="13" max="13" width="6.71"/>
    <col customWidth="1" min="14" max="14" width="11.57"/>
    <col customWidth="1" min="15" max="15" width="8.86"/>
    <col customWidth="1" min="16" max="16" width="13.57"/>
    <col customWidth="1" min="17" max="17" width="15.14"/>
    <col customWidth="1" min="18" max="18" width="8.71"/>
  </cols>
  <sheetData>
    <row r="1" ht="27.0" customHeight="1">
      <c r="A1" s="208" t="s">
        <v>377</v>
      </c>
      <c r="B1" s="208" t="s">
        <v>378</v>
      </c>
      <c r="C1" s="208" t="s">
        <v>379</v>
      </c>
      <c r="D1" s="208" t="s">
        <v>380</v>
      </c>
      <c r="E1" s="208" t="s">
        <v>147</v>
      </c>
      <c r="F1" s="208" t="s">
        <v>309</v>
      </c>
      <c r="G1" s="208" t="s">
        <v>369</v>
      </c>
      <c r="H1" s="208" t="s">
        <v>381</v>
      </c>
      <c r="I1" s="208" t="s">
        <v>382</v>
      </c>
      <c r="J1" s="208" t="s">
        <v>383</v>
      </c>
      <c r="K1" s="208" t="s">
        <v>384</v>
      </c>
      <c r="L1" s="208" t="s">
        <v>385</v>
      </c>
      <c r="M1" s="208" t="s">
        <v>386</v>
      </c>
      <c r="N1" s="208" t="s">
        <v>387</v>
      </c>
      <c r="O1" s="208" t="s">
        <v>388</v>
      </c>
      <c r="P1" s="211" t="s">
        <v>116</v>
      </c>
      <c r="Q1" s="213" t="s">
        <v>389</v>
      </c>
    </row>
    <row r="2" ht="22.5" customHeight="1">
      <c r="A2" s="214" t="s">
        <v>390</v>
      </c>
      <c r="B2" s="216">
        <v>9726.0</v>
      </c>
      <c r="C2" s="216">
        <v>1275.0</v>
      </c>
      <c r="D2" s="217">
        <v>5.0</v>
      </c>
      <c r="E2" s="219" t="s">
        <v>157</v>
      </c>
      <c r="F2" s="219" t="s">
        <v>355</v>
      </c>
      <c r="G2" s="214" t="s">
        <v>392</v>
      </c>
      <c r="H2" s="221">
        <v>45104.0</v>
      </c>
      <c r="I2" s="219" t="s">
        <v>393</v>
      </c>
      <c r="J2" s="219" t="s">
        <v>159</v>
      </c>
      <c r="K2" s="219" t="s">
        <v>394</v>
      </c>
      <c r="L2" s="214" t="s">
        <v>395</v>
      </c>
      <c r="M2" s="222">
        <v>2023.0</v>
      </c>
      <c r="N2" s="214" t="s">
        <v>396</v>
      </c>
      <c r="O2" s="223">
        <v>2.0</v>
      </c>
      <c r="P2" s="224">
        <f t="shared" ref="P2:P1195" si="1">C2/B2</f>
        <v>0.1310919186</v>
      </c>
      <c r="Q2" s="214" t="str">
        <f t="shared" ref="Q2:Q1195" si="2">IF(B2&gt;5000, "High", "Medium")</f>
        <v>High</v>
      </c>
    </row>
    <row r="3" ht="22.5" customHeight="1">
      <c r="A3" s="214" t="s">
        <v>390</v>
      </c>
      <c r="B3" s="216">
        <v>9726.0</v>
      </c>
      <c r="C3" s="216">
        <v>1275.0</v>
      </c>
      <c r="D3" s="217">
        <v>5.0</v>
      </c>
      <c r="E3" s="219" t="s">
        <v>157</v>
      </c>
      <c r="F3" s="219" t="s">
        <v>355</v>
      </c>
      <c r="G3" s="214" t="s">
        <v>392</v>
      </c>
      <c r="H3" s="221">
        <v>45653.0</v>
      </c>
      <c r="I3" s="219" t="s">
        <v>397</v>
      </c>
      <c r="J3" s="219" t="s">
        <v>271</v>
      </c>
      <c r="K3" s="219" t="s">
        <v>398</v>
      </c>
      <c r="L3" s="214" t="s">
        <v>399</v>
      </c>
      <c r="M3" s="222">
        <v>2024.0</v>
      </c>
      <c r="N3" s="214" t="s">
        <v>400</v>
      </c>
      <c r="O3" s="223">
        <v>4.0</v>
      </c>
      <c r="P3" s="224">
        <f t="shared" si="1"/>
        <v>0.1310919186</v>
      </c>
      <c r="Q3" s="214" t="str">
        <f t="shared" si="2"/>
        <v>High</v>
      </c>
    </row>
    <row r="4" ht="22.5" customHeight="1">
      <c r="A4" s="214" t="s">
        <v>390</v>
      </c>
      <c r="B4" s="216">
        <v>9726.0</v>
      </c>
      <c r="C4" s="216">
        <v>1275.0</v>
      </c>
      <c r="D4" s="217">
        <v>5.0</v>
      </c>
      <c r="E4" s="219" t="s">
        <v>157</v>
      </c>
      <c r="F4" s="219" t="s">
        <v>355</v>
      </c>
      <c r="G4" s="214" t="s">
        <v>392</v>
      </c>
      <c r="H4" s="221">
        <v>44402.0</v>
      </c>
      <c r="I4" s="219" t="s">
        <v>401</v>
      </c>
      <c r="J4" s="219" t="s">
        <v>223</v>
      </c>
      <c r="K4" s="219" t="s">
        <v>402</v>
      </c>
      <c r="L4" s="214" t="s">
        <v>403</v>
      </c>
      <c r="M4" s="222">
        <v>2021.0</v>
      </c>
      <c r="N4" s="214" t="s">
        <v>404</v>
      </c>
      <c r="O4" s="223">
        <v>3.0</v>
      </c>
      <c r="P4" s="224">
        <f t="shared" si="1"/>
        <v>0.1310919186</v>
      </c>
      <c r="Q4" s="214" t="str">
        <f t="shared" si="2"/>
        <v>High</v>
      </c>
    </row>
    <row r="5" ht="22.5" customHeight="1">
      <c r="A5" s="214" t="s">
        <v>390</v>
      </c>
      <c r="B5" s="216">
        <v>4975.0</v>
      </c>
      <c r="C5" s="216">
        <v>1330.0</v>
      </c>
      <c r="D5" s="217">
        <v>14.0</v>
      </c>
      <c r="E5" s="219" t="s">
        <v>157</v>
      </c>
      <c r="F5" s="219" t="s">
        <v>354</v>
      </c>
      <c r="G5" s="214" t="s">
        <v>392</v>
      </c>
      <c r="H5" s="221">
        <v>45104.0</v>
      </c>
      <c r="I5" s="219" t="s">
        <v>393</v>
      </c>
      <c r="J5" s="219" t="s">
        <v>159</v>
      </c>
      <c r="K5" s="219" t="s">
        <v>394</v>
      </c>
      <c r="L5" s="214" t="s">
        <v>395</v>
      </c>
      <c r="M5" s="222">
        <v>2023.0</v>
      </c>
      <c r="N5" s="214" t="s">
        <v>396</v>
      </c>
      <c r="O5" s="223">
        <v>2.0</v>
      </c>
      <c r="P5" s="224">
        <f t="shared" si="1"/>
        <v>0.2673366834</v>
      </c>
      <c r="Q5" s="214" t="str">
        <f t="shared" si="2"/>
        <v>Medium</v>
      </c>
    </row>
    <row r="6" ht="22.5" customHeight="1">
      <c r="A6" s="214" t="s">
        <v>390</v>
      </c>
      <c r="B6" s="216">
        <v>4975.0</v>
      </c>
      <c r="C6" s="216">
        <v>1330.0</v>
      </c>
      <c r="D6" s="217">
        <v>14.0</v>
      </c>
      <c r="E6" s="219" t="s">
        <v>157</v>
      </c>
      <c r="F6" s="219" t="s">
        <v>354</v>
      </c>
      <c r="G6" s="214" t="s">
        <v>392</v>
      </c>
      <c r="H6" s="221">
        <v>45653.0</v>
      </c>
      <c r="I6" s="219" t="s">
        <v>397</v>
      </c>
      <c r="J6" s="219" t="s">
        <v>271</v>
      </c>
      <c r="K6" s="219" t="s">
        <v>398</v>
      </c>
      <c r="L6" s="214" t="s">
        <v>399</v>
      </c>
      <c r="M6" s="222">
        <v>2024.0</v>
      </c>
      <c r="N6" s="214" t="s">
        <v>400</v>
      </c>
      <c r="O6" s="223">
        <v>4.0</v>
      </c>
      <c r="P6" s="224">
        <f t="shared" si="1"/>
        <v>0.2673366834</v>
      </c>
      <c r="Q6" s="214" t="str">
        <f t="shared" si="2"/>
        <v>Medium</v>
      </c>
    </row>
    <row r="7" ht="22.5" customHeight="1">
      <c r="A7" s="214" t="s">
        <v>390</v>
      </c>
      <c r="B7" s="216">
        <v>4975.0</v>
      </c>
      <c r="C7" s="216">
        <v>1330.0</v>
      </c>
      <c r="D7" s="217">
        <v>14.0</v>
      </c>
      <c r="E7" s="219" t="s">
        <v>157</v>
      </c>
      <c r="F7" s="219" t="s">
        <v>354</v>
      </c>
      <c r="G7" s="214" t="s">
        <v>392</v>
      </c>
      <c r="H7" s="221">
        <v>44402.0</v>
      </c>
      <c r="I7" s="219" t="s">
        <v>401</v>
      </c>
      <c r="J7" s="219" t="s">
        <v>223</v>
      </c>
      <c r="K7" s="219" t="s">
        <v>402</v>
      </c>
      <c r="L7" s="214" t="s">
        <v>403</v>
      </c>
      <c r="M7" s="222">
        <v>2021.0</v>
      </c>
      <c r="N7" s="214" t="s">
        <v>404</v>
      </c>
      <c r="O7" s="223">
        <v>3.0</v>
      </c>
      <c r="P7" s="224">
        <f t="shared" si="1"/>
        <v>0.2673366834</v>
      </c>
      <c r="Q7" s="214" t="str">
        <f t="shared" si="2"/>
        <v>Medium</v>
      </c>
    </row>
    <row r="8" ht="22.5" customHeight="1">
      <c r="A8" s="214" t="s">
        <v>407</v>
      </c>
      <c r="B8" s="216">
        <v>1525.0</v>
      </c>
      <c r="C8" s="216">
        <v>185.0</v>
      </c>
      <c r="D8" s="217">
        <v>12.0</v>
      </c>
      <c r="E8" s="219" t="s">
        <v>242</v>
      </c>
      <c r="F8" s="219" t="s">
        <v>356</v>
      </c>
      <c r="G8" s="214" t="s">
        <v>351</v>
      </c>
      <c r="H8" s="221">
        <v>45423.0</v>
      </c>
      <c r="I8" s="219" t="s">
        <v>408</v>
      </c>
      <c r="J8" s="219" t="s">
        <v>159</v>
      </c>
      <c r="K8" s="219" t="s">
        <v>409</v>
      </c>
      <c r="L8" s="214" t="s">
        <v>410</v>
      </c>
      <c r="M8" s="222">
        <v>2024.0</v>
      </c>
      <c r="N8" s="214" t="s">
        <v>411</v>
      </c>
      <c r="O8" s="223">
        <v>2.0</v>
      </c>
      <c r="P8" s="224">
        <f t="shared" si="1"/>
        <v>0.1213114754</v>
      </c>
      <c r="Q8" s="214" t="str">
        <f t="shared" si="2"/>
        <v>Medium</v>
      </c>
    </row>
    <row r="9" ht="22.5" customHeight="1">
      <c r="A9" s="214" t="s">
        <v>407</v>
      </c>
      <c r="B9" s="216">
        <v>1525.0</v>
      </c>
      <c r="C9" s="216">
        <v>185.0</v>
      </c>
      <c r="D9" s="217">
        <v>12.0</v>
      </c>
      <c r="E9" s="219" t="s">
        <v>242</v>
      </c>
      <c r="F9" s="219" t="s">
        <v>356</v>
      </c>
      <c r="G9" s="214" t="s">
        <v>351</v>
      </c>
      <c r="H9" s="221">
        <v>44478.0</v>
      </c>
      <c r="I9" s="219" t="s">
        <v>412</v>
      </c>
      <c r="J9" s="219" t="s">
        <v>159</v>
      </c>
      <c r="K9" s="219" t="s">
        <v>394</v>
      </c>
      <c r="L9" s="214" t="s">
        <v>413</v>
      </c>
      <c r="M9" s="222">
        <v>2021.0</v>
      </c>
      <c r="N9" s="214" t="s">
        <v>414</v>
      </c>
      <c r="O9" s="223">
        <v>4.0</v>
      </c>
      <c r="P9" s="224">
        <f t="shared" si="1"/>
        <v>0.1213114754</v>
      </c>
      <c r="Q9" s="214" t="str">
        <f t="shared" si="2"/>
        <v>Medium</v>
      </c>
    </row>
    <row r="10" ht="22.5" customHeight="1">
      <c r="A10" s="214" t="s">
        <v>415</v>
      </c>
      <c r="B10" s="216">
        <v>883.0</v>
      </c>
      <c r="C10" s="216">
        <v>117.0</v>
      </c>
      <c r="D10" s="217">
        <v>10.0</v>
      </c>
      <c r="E10" s="219" t="s">
        <v>157</v>
      </c>
      <c r="F10" s="219" t="s">
        <v>360</v>
      </c>
      <c r="G10" s="214" t="s">
        <v>406</v>
      </c>
      <c r="H10" s="221">
        <v>44883.0</v>
      </c>
      <c r="I10" s="219" t="s">
        <v>420</v>
      </c>
      <c r="J10" s="219" t="s">
        <v>117</v>
      </c>
      <c r="K10" s="219" t="s">
        <v>423</v>
      </c>
      <c r="L10" s="214" t="s">
        <v>424</v>
      </c>
      <c r="M10" s="222">
        <v>2022.0</v>
      </c>
      <c r="N10" s="214" t="s">
        <v>425</v>
      </c>
      <c r="O10" s="223">
        <v>4.0</v>
      </c>
      <c r="P10" s="224">
        <f t="shared" si="1"/>
        <v>0.1325028313</v>
      </c>
      <c r="Q10" s="214" t="str">
        <f t="shared" si="2"/>
        <v>Medium</v>
      </c>
    </row>
    <row r="11" ht="22.5" customHeight="1">
      <c r="A11" s="214" t="s">
        <v>415</v>
      </c>
      <c r="B11" s="216">
        <v>8127.0</v>
      </c>
      <c r="C11" s="216">
        <v>3551.0</v>
      </c>
      <c r="D11" s="217">
        <v>16.0</v>
      </c>
      <c r="E11" s="219" t="s">
        <v>216</v>
      </c>
      <c r="F11" s="219" t="s">
        <v>344</v>
      </c>
      <c r="G11" s="214" t="s">
        <v>350</v>
      </c>
      <c r="H11" s="221">
        <v>44883.0</v>
      </c>
      <c r="I11" s="219" t="s">
        <v>420</v>
      </c>
      <c r="J11" s="219" t="s">
        <v>117</v>
      </c>
      <c r="K11" s="219" t="s">
        <v>423</v>
      </c>
      <c r="L11" s="214" t="s">
        <v>424</v>
      </c>
      <c r="M11" s="222">
        <v>2022.0</v>
      </c>
      <c r="N11" s="214" t="s">
        <v>425</v>
      </c>
      <c r="O11" s="223">
        <v>4.0</v>
      </c>
      <c r="P11" s="224">
        <f t="shared" si="1"/>
        <v>0.4369385997</v>
      </c>
      <c r="Q11" s="214" t="str">
        <f t="shared" si="2"/>
        <v>High</v>
      </c>
    </row>
    <row r="12" ht="22.5" customHeight="1">
      <c r="A12" s="214" t="s">
        <v>426</v>
      </c>
      <c r="B12" s="216">
        <v>2516.0</v>
      </c>
      <c r="C12" s="216">
        <v>734.0</v>
      </c>
      <c r="D12" s="217">
        <v>19.0</v>
      </c>
      <c r="E12" s="219" t="s">
        <v>216</v>
      </c>
      <c r="F12" s="219" t="s">
        <v>359</v>
      </c>
      <c r="G12" s="214" t="s">
        <v>392</v>
      </c>
      <c r="H12" s="221">
        <v>45242.0</v>
      </c>
      <c r="I12" s="219" t="s">
        <v>427</v>
      </c>
      <c r="J12" s="219" t="s">
        <v>223</v>
      </c>
      <c r="K12" s="219" t="s">
        <v>428</v>
      </c>
      <c r="L12" s="214" t="s">
        <v>429</v>
      </c>
      <c r="M12" s="222">
        <v>2023.0</v>
      </c>
      <c r="N12" s="214" t="s">
        <v>425</v>
      </c>
      <c r="O12" s="223">
        <v>4.0</v>
      </c>
      <c r="P12" s="224">
        <f t="shared" si="1"/>
        <v>0.2917329094</v>
      </c>
      <c r="Q12" s="214" t="str">
        <f t="shared" si="2"/>
        <v>Medium</v>
      </c>
    </row>
    <row r="13" ht="22.5" customHeight="1">
      <c r="A13" s="214" t="s">
        <v>430</v>
      </c>
      <c r="B13" s="216">
        <v>2975.0</v>
      </c>
      <c r="C13" s="216">
        <v>462.0</v>
      </c>
      <c r="D13" s="217">
        <v>14.0</v>
      </c>
      <c r="E13" s="219" t="s">
        <v>242</v>
      </c>
      <c r="F13" s="219" t="s">
        <v>356</v>
      </c>
      <c r="G13" s="214" t="s">
        <v>350</v>
      </c>
      <c r="H13" s="221">
        <v>43913.0</v>
      </c>
      <c r="I13" s="219" t="s">
        <v>432</v>
      </c>
      <c r="J13" s="219" t="s">
        <v>223</v>
      </c>
      <c r="K13" s="219" t="s">
        <v>428</v>
      </c>
      <c r="L13" s="214" t="s">
        <v>417</v>
      </c>
      <c r="M13" s="222">
        <v>2020.0</v>
      </c>
      <c r="N13" s="214" t="s">
        <v>433</v>
      </c>
      <c r="O13" s="223">
        <v>1.0</v>
      </c>
      <c r="P13" s="224">
        <f t="shared" si="1"/>
        <v>0.1552941176</v>
      </c>
      <c r="Q13" s="214" t="str">
        <f t="shared" si="2"/>
        <v>Medium</v>
      </c>
    </row>
    <row r="14" ht="22.5" customHeight="1">
      <c r="A14" s="214" t="s">
        <v>441</v>
      </c>
      <c r="B14" s="216">
        <v>6851.0</v>
      </c>
      <c r="C14" s="216">
        <v>2812.0</v>
      </c>
      <c r="D14" s="217">
        <v>1.0</v>
      </c>
      <c r="E14" s="219" t="s">
        <v>242</v>
      </c>
      <c r="F14" s="219" t="s">
        <v>317</v>
      </c>
      <c r="G14" s="214" t="s">
        <v>351</v>
      </c>
      <c r="H14" s="221">
        <v>43955.0</v>
      </c>
      <c r="I14" s="219" t="s">
        <v>446</v>
      </c>
      <c r="J14" s="219" t="s">
        <v>159</v>
      </c>
      <c r="K14" s="219" t="s">
        <v>409</v>
      </c>
      <c r="L14" s="214" t="s">
        <v>419</v>
      </c>
      <c r="M14" s="222">
        <v>2020.0</v>
      </c>
      <c r="N14" s="214" t="s">
        <v>411</v>
      </c>
      <c r="O14" s="223">
        <v>2.0</v>
      </c>
      <c r="P14" s="224">
        <f t="shared" si="1"/>
        <v>0.410451029</v>
      </c>
      <c r="Q14" s="214" t="str">
        <f t="shared" si="2"/>
        <v>High</v>
      </c>
    </row>
    <row r="15" ht="22.5" customHeight="1">
      <c r="A15" s="214" t="s">
        <v>441</v>
      </c>
      <c r="B15" s="216">
        <v>7626.0</v>
      </c>
      <c r="C15" s="216">
        <v>1046.0</v>
      </c>
      <c r="D15" s="217">
        <v>15.0</v>
      </c>
      <c r="E15" s="219" t="s">
        <v>216</v>
      </c>
      <c r="F15" s="219" t="s">
        <v>347</v>
      </c>
      <c r="G15" s="214" t="s">
        <v>350</v>
      </c>
      <c r="H15" s="221">
        <v>43955.0</v>
      </c>
      <c r="I15" s="219" t="s">
        <v>446</v>
      </c>
      <c r="J15" s="219" t="s">
        <v>159</v>
      </c>
      <c r="K15" s="219" t="s">
        <v>409</v>
      </c>
      <c r="L15" s="214" t="s">
        <v>419</v>
      </c>
      <c r="M15" s="222">
        <v>2020.0</v>
      </c>
      <c r="N15" s="214" t="s">
        <v>411</v>
      </c>
      <c r="O15" s="223">
        <v>2.0</v>
      </c>
      <c r="P15" s="224">
        <f t="shared" si="1"/>
        <v>0.1371623394</v>
      </c>
      <c r="Q15" s="214" t="str">
        <f t="shared" si="2"/>
        <v>High</v>
      </c>
    </row>
    <row r="16" ht="22.5" customHeight="1">
      <c r="A16" s="214" t="s">
        <v>441</v>
      </c>
      <c r="B16" s="216">
        <v>1023.0</v>
      </c>
      <c r="C16" s="216">
        <v>78.0</v>
      </c>
      <c r="D16" s="217">
        <v>9.0</v>
      </c>
      <c r="E16" s="219" t="s">
        <v>216</v>
      </c>
      <c r="F16" s="219" t="s">
        <v>344</v>
      </c>
      <c r="G16" s="214" t="s">
        <v>392</v>
      </c>
      <c r="H16" s="221">
        <v>43955.0</v>
      </c>
      <c r="I16" s="219" t="s">
        <v>446</v>
      </c>
      <c r="J16" s="219" t="s">
        <v>159</v>
      </c>
      <c r="K16" s="219" t="s">
        <v>409</v>
      </c>
      <c r="L16" s="214" t="s">
        <v>419</v>
      </c>
      <c r="M16" s="222">
        <v>2020.0</v>
      </c>
      <c r="N16" s="214" t="s">
        <v>411</v>
      </c>
      <c r="O16" s="223">
        <v>2.0</v>
      </c>
      <c r="P16" s="224">
        <f t="shared" si="1"/>
        <v>0.07624633431</v>
      </c>
      <c r="Q16" s="214" t="str">
        <f t="shared" si="2"/>
        <v>Medium</v>
      </c>
    </row>
    <row r="17" ht="22.5" customHeight="1">
      <c r="A17" s="214" t="s">
        <v>447</v>
      </c>
      <c r="B17" s="216">
        <v>7600.0</v>
      </c>
      <c r="C17" s="216">
        <v>1098.0</v>
      </c>
      <c r="D17" s="217">
        <v>10.0</v>
      </c>
      <c r="E17" s="219" t="s">
        <v>242</v>
      </c>
      <c r="F17" s="219" t="s">
        <v>356</v>
      </c>
      <c r="G17" s="214" t="s">
        <v>392</v>
      </c>
      <c r="H17" s="221">
        <v>45239.0</v>
      </c>
      <c r="I17" s="219" t="s">
        <v>448</v>
      </c>
      <c r="J17" s="219" t="s">
        <v>271</v>
      </c>
      <c r="K17" s="219" t="s">
        <v>449</v>
      </c>
      <c r="L17" s="214" t="s">
        <v>429</v>
      </c>
      <c r="M17" s="222">
        <v>2023.0</v>
      </c>
      <c r="N17" s="214" t="s">
        <v>425</v>
      </c>
      <c r="O17" s="223">
        <v>4.0</v>
      </c>
      <c r="P17" s="224">
        <f t="shared" si="1"/>
        <v>0.1444736842</v>
      </c>
      <c r="Q17" s="214" t="str">
        <f t="shared" si="2"/>
        <v>High</v>
      </c>
    </row>
    <row r="18" ht="22.5" customHeight="1">
      <c r="A18" s="214" t="s">
        <v>447</v>
      </c>
      <c r="B18" s="216">
        <v>7501.0</v>
      </c>
      <c r="C18" s="216">
        <v>262.0</v>
      </c>
      <c r="D18" s="217">
        <v>18.0</v>
      </c>
      <c r="E18" s="219" t="s">
        <v>242</v>
      </c>
      <c r="F18" s="219" t="s">
        <v>357</v>
      </c>
      <c r="G18" s="214" t="s">
        <v>405</v>
      </c>
      <c r="H18" s="221">
        <v>45239.0</v>
      </c>
      <c r="I18" s="219" t="s">
        <v>448</v>
      </c>
      <c r="J18" s="219" t="s">
        <v>271</v>
      </c>
      <c r="K18" s="219" t="s">
        <v>449</v>
      </c>
      <c r="L18" s="214" t="s">
        <v>429</v>
      </c>
      <c r="M18" s="222">
        <v>2023.0</v>
      </c>
      <c r="N18" s="214" t="s">
        <v>425</v>
      </c>
      <c r="O18" s="223">
        <v>4.0</v>
      </c>
      <c r="P18" s="224">
        <f t="shared" si="1"/>
        <v>0.03492867618</v>
      </c>
      <c r="Q18" s="214" t="str">
        <f t="shared" si="2"/>
        <v>High</v>
      </c>
    </row>
    <row r="19" ht="22.5" customHeight="1">
      <c r="A19" s="214" t="s">
        <v>459</v>
      </c>
      <c r="B19" s="216">
        <v>725.0</v>
      </c>
      <c r="C19" s="216">
        <v>133.0</v>
      </c>
      <c r="D19" s="217">
        <v>6.0</v>
      </c>
      <c r="E19" s="219" t="s">
        <v>242</v>
      </c>
      <c r="F19" s="219" t="s">
        <v>357</v>
      </c>
      <c r="G19" s="214" t="s">
        <v>350</v>
      </c>
      <c r="H19" s="221">
        <v>45656.0</v>
      </c>
      <c r="I19" s="219" t="s">
        <v>470</v>
      </c>
      <c r="J19" s="219" t="s">
        <v>223</v>
      </c>
      <c r="K19" s="219" t="s">
        <v>473</v>
      </c>
      <c r="L19" s="214" t="s">
        <v>399</v>
      </c>
      <c r="M19" s="222">
        <v>2024.0</v>
      </c>
      <c r="N19" s="214" t="s">
        <v>400</v>
      </c>
      <c r="O19" s="223">
        <v>4.0</v>
      </c>
      <c r="P19" s="224">
        <f t="shared" si="1"/>
        <v>0.1834482759</v>
      </c>
      <c r="Q19" s="214" t="str">
        <f t="shared" si="2"/>
        <v>Medium</v>
      </c>
    </row>
    <row r="20" ht="22.5" customHeight="1">
      <c r="A20" s="214" t="s">
        <v>459</v>
      </c>
      <c r="B20" s="216">
        <v>7201.0</v>
      </c>
      <c r="C20" s="216">
        <v>2685.0</v>
      </c>
      <c r="D20" s="217">
        <v>2.0</v>
      </c>
      <c r="E20" s="219" t="s">
        <v>216</v>
      </c>
      <c r="F20" s="219" t="s">
        <v>344</v>
      </c>
      <c r="G20" s="214" t="s">
        <v>350</v>
      </c>
      <c r="H20" s="221">
        <v>45656.0</v>
      </c>
      <c r="I20" s="219" t="s">
        <v>470</v>
      </c>
      <c r="J20" s="219" t="s">
        <v>223</v>
      </c>
      <c r="K20" s="219" t="s">
        <v>473</v>
      </c>
      <c r="L20" s="214" t="s">
        <v>399</v>
      </c>
      <c r="M20" s="222">
        <v>2024.0</v>
      </c>
      <c r="N20" s="214" t="s">
        <v>400</v>
      </c>
      <c r="O20" s="223">
        <v>4.0</v>
      </c>
      <c r="P20" s="224">
        <f t="shared" si="1"/>
        <v>0.3728648799</v>
      </c>
      <c r="Q20" s="214" t="str">
        <f t="shared" si="2"/>
        <v>High</v>
      </c>
    </row>
    <row r="21" ht="15.75" customHeight="1">
      <c r="A21" s="214" t="s">
        <v>491</v>
      </c>
      <c r="B21" s="216">
        <v>1629.0</v>
      </c>
      <c r="C21" s="216">
        <v>265.0</v>
      </c>
      <c r="D21" s="217">
        <v>1.0</v>
      </c>
      <c r="E21" s="219" t="s">
        <v>242</v>
      </c>
      <c r="F21" s="219" t="s">
        <v>357</v>
      </c>
      <c r="G21" s="214" t="s">
        <v>392</v>
      </c>
      <c r="H21" s="221">
        <v>45699.0</v>
      </c>
      <c r="I21" s="219" t="s">
        <v>492</v>
      </c>
      <c r="J21" s="219" t="s">
        <v>241</v>
      </c>
      <c r="K21" s="219" t="s">
        <v>493</v>
      </c>
      <c r="L21" s="214" t="s">
        <v>488</v>
      </c>
      <c r="M21" s="222">
        <v>2025.0</v>
      </c>
      <c r="N21" s="214" t="s">
        <v>494</v>
      </c>
      <c r="O21" s="223">
        <v>1.0</v>
      </c>
      <c r="P21" s="224">
        <f t="shared" si="1"/>
        <v>0.1626764886</v>
      </c>
      <c r="Q21" s="214" t="str">
        <f t="shared" si="2"/>
        <v>Medium</v>
      </c>
    </row>
    <row r="22" ht="15.75" customHeight="1">
      <c r="A22" s="214" t="s">
        <v>491</v>
      </c>
      <c r="B22" s="216">
        <v>1629.0</v>
      </c>
      <c r="C22" s="216">
        <v>265.0</v>
      </c>
      <c r="D22" s="217">
        <v>1.0</v>
      </c>
      <c r="E22" s="219" t="s">
        <v>242</v>
      </c>
      <c r="F22" s="219" t="s">
        <v>357</v>
      </c>
      <c r="G22" s="214" t="s">
        <v>392</v>
      </c>
      <c r="H22" s="221">
        <v>45314.0</v>
      </c>
      <c r="I22" s="219" t="s">
        <v>495</v>
      </c>
      <c r="J22" s="219" t="s">
        <v>117</v>
      </c>
      <c r="K22" s="219" t="s">
        <v>496</v>
      </c>
      <c r="L22" s="214" t="s">
        <v>477</v>
      </c>
      <c r="M22" s="222">
        <v>2024.0</v>
      </c>
      <c r="N22" s="214" t="s">
        <v>497</v>
      </c>
      <c r="O22" s="223">
        <v>1.0</v>
      </c>
      <c r="P22" s="224">
        <f t="shared" si="1"/>
        <v>0.1626764886</v>
      </c>
      <c r="Q22" s="214" t="str">
        <f t="shared" si="2"/>
        <v>Medium</v>
      </c>
    </row>
    <row r="23" ht="15.75" customHeight="1">
      <c r="A23" s="214" t="s">
        <v>498</v>
      </c>
      <c r="B23" s="216">
        <v>8971.0</v>
      </c>
      <c r="C23" s="216">
        <v>2971.0</v>
      </c>
      <c r="D23" s="217">
        <v>19.0</v>
      </c>
      <c r="E23" s="219" t="s">
        <v>242</v>
      </c>
      <c r="F23" s="219" t="s">
        <v>362</v>
      </c>
      <c r="G23" s="214" t="s">
        <v>351</v>
      </c>
      <c r="H23" s="221">
        <v>44163.0</v>
      </c>
      <c r="I23" s="219" t="s">
        <v>499</v>
      </c>
      <c r="J23" s="219" t="s">
        <v>117</v>
      </c>
      <c r="K23" s="219" t="s">
        <v>496</v>
      </c>
      <c r="L23" s="214" t="s">
        <v>436</v>
      </c>
      <c r="M23" s="222">
        <v>2020.0</v>
      </c>
      <c r="N23" s="214" t="s">
        <v>425</v>
      </c>
      <c r="O23" s="223">
        <v>4.0</v>
      </c>
      <c r="P23" s="224">
        <f t="shared" si="1"/>
        <v>0.331178241</v>
      </c>
      <c r="Q23" s="214" t="str">
        <f t="shared" si="2"/>
        <v>High</v>
      </c>
    </row>
    <row r="24" ht="15.75" customHeight="1">
      <c r="A24" s="214" t="s">
        <v>498</v>
      </c>
      <c r="B24" s="216">
        <v>2939.0</v>
      </c>
      <c r="C24" s="216">
        <v>894.0</v>
      </c>
      <c r="D24" s="217">
        <v>20.0</v>
      </c>
      <c r="E24" s="219" t="s">
        <v>242</v>
      </c>
      <c r="F24" s="219" t="s">
        <v>362</v>
      </c>
      <c r="G24" s="214" t="s">
        <v>405</v>
      </c>
      <c r="H24" s="221">
        <v>44163.0</v>
      </c>
      <c r="I24" s="219" t="s">
        <v>499</v>
      </c>
      <c r="J24" s="219" t="s">
        <v>117</v>
      </c>
      <c r="K24" s="219" t="s">
        <v>496</v>
      </c>
      <c r="L24" s="214" t="s">
        <v>436</v>
      </c>
      <c r="M24" s="222">
        <v>2020.0</v>
      </c>
      <c r="N24" s="214" t="s">
        <v>425</v>
      </c>
      <c r="O24" s="223">
        <v>4.0</v>
      </c>
      <c r="P24" s="224">
        <f t="shared" si="1"/>
        <v>0.304185097</v>
      </c>
      <c r="Q24" s="214" t="str">
        <f t="shared" si="2"/>
        <v>Medium</v>
      </c>
    </row>
    <row r="25" ht="15.75" customHeight="1">
      <c r="A25" s="214" t="s">
        <v>500</v>
      </c>
      <c r="B25" s="216">
        <v>9380.0</v>
      </c>
      <c r="C25" s="216">
        <v>414.0</v>
      </c>
      <c r="D25" s="217">
        <v>11.0</v>
      </c>
      <c r="E25" s="219" t="s">
        <v>157</v>
      </c>
      <c r="F25" s="219" t="s">
        <v>358</v>
      </c>
      <c r="G25" s="214" t="s">
        <v>392</v>
      </c>
      <c r="H25" s="221">
        <v>45442.0</v>
      </c>
      <c r="I25" s="219" t="s">
        <v>501</v>
      </c>
      <c r="J25" s="219" t="s">
        <v>223</v>
      </c>
      <c r="K25" s="219" t="s">
        <v>473</v>
      </c>
      <c r="L25" s="214" t="s">
        <v>410</v>
      </c>
      <c r="M25" s="222">
        <v>2024.0</v>
      </c>
      <c r="N25" s="214" t="s">
        <v>411</v>
      </c>
      <c r="O25" s="223">
        <v>2.0</v>
      </c>
      <c r="P25" s="224">
        <f t="shared" si="1"/>
        <v>0.04413646055</v>
      </c>
      <c r="Q25" s="214" t="str">
        <f t="shared" si="2"/>
        <v>High</v>
      </c>
    </row>
    <row r="26" ht="15.75" customHeight="1">
      <c r="A26" s="214" t="s">
        <v>500</v>
      </c>
      <c r="B26" s="216">
        <v>8558.0</v>
      </c>
      <c r="C26" s="216">
        <v>1644.0</v>
      </c>
      <c r="D26" s="217">
        <v>18.0</v>
      </c>
      <c r="E26" s="219" t="s">
        <v>242</v>
      </c>
      <c r="F26" s="219" t="s">
        <v>362</v>
      </c>
      <c r="G26" s="214" t="s">
        <v>350</v>
      </c>
      <c r="H26" s="221">
        <v>45442.0</v>
      </c>
      <c r="I26" s="219" t="s">
        <v>501</v>
      </c>
      <c r="J26" s="219" t="s">
        <v>223</v>
      </c>
      <c r="K26" s="219" t="s">
        <v>473</v>
      </c>
      <c r="L26" s="214" t="s">
        <v>410</v>
      </c>
      <c r="M26" s="222">
        <v>2024.0</v>
      </c>
      <c r="N26" s="214" t="s">
        <v>411</v>
      </c>
      <c r="O26" s="223">
        <v>2.0</v>
      </c>
      <c r="P26" s="224">
        <f t="shared" si="1"/>
        <v>0.1921009582</v>
      </c>
      <c r="Q26" s="214" t="str">
        <f t="shared" si="2"/>
        <v>High</v>
      </c>
    </row>
    <row r="27" ht="15.75" customHeight="1">
      <c r="A27" s="214" t="s">
        <v>500</v>
      </c>
      <c r="B27" s="216">
        <v>4080.0</v>
      </c>
      <c r="C27" s="216">
        <v>72.0</v>
      </c>
      <c r="D27" s="217">
        <v>17.0</v>
      </c>
      <c r="E27" s="219" t="s">
        <v>242</v>
      </c>
      <c r="F27" s="219" t="s">
        <v>357</v>
      </c>
      <c r="G27" s="214" t="s">
        <v>405</v>
      </c>
      <c r="H27" s="221">
        <v>45442.0</v>
      </c>
      <c r="I27" s="219" t="s">
        <v>501</v>
      </c>
      <c r="J27" s="219" t="s">
        <v>223</v>
      </c>
      <c r="K27" s="219" t="s">
        <v>473</v>
      </c>
      <c r="L27" s="214" t="s">
        <v>410</v>
      </c>
      <c r="M27" s="222">
        <v>2024.0</v>
      </c>
      <c r="N27" s="214" t="s">
        <v>411</v>
      </c>
      <c r="O27" s="223">
        <v>2.0</v>
      </c>
      <c r="P27" s="224">
        <f t="shared" si="1"/>
        <v>0.01764705882</v>
      </c>
      <c r="Q27" s="214" t="str">
        <f t="shared" si="2"/>
        <v>Medium</v>
      </c>
    </row>
    <row r="28" ht="15.75" customHeight="1">
      <c r="A28" s="214" t="s">
        <v>502</v>
      </c>
      <c r="B28" s="216">
        <v>4206.0</v>
      </c>
      <c r="C28" s="216">
        <v>1821.0</v>
      </c>
      <c r="D28" s="217">
        <v>17.0</v>
      </c>
      <c r="E28" s="219" t="s">
        <v>157</v>
      </c>
      <c r="F28" s="219" t="s">
        <v>355</v>
      </c>
      <c r="G28" s="214" t="s">
        <v>406</v>
      </c>
      <c r="H28" s="221">
        <v>44584.0</v>
      </c>
      <c r="I28" s="219" t="s">
        <v>503</v>
      </c>
      <c r="J28" s="219" t="s">
        <v>241</v>
      </c>
      <c r="K28" s="219" t="s">
        <v>504</v>
      </c>
      <c r="L28" s="214" t="s">
        <v>453</v>
      </c>
      <c r="M28" s="222">
        <v>2022.0</v>
      </c>
      <c r="N28" s="214" t="s">
        <v>497</v>
      </c>
      <c r="O28" s="223">
        <v>1.0</v>
      </c>
      <c r="P28" s="224">
        <f t="shared" si="1"/>
        <v>0.4329529244</v>
      </c>
      <c r="Q28" s="214" t="str">
        <f t="shared" si="2"/>
        <v>Medium</v>
      </c>
    </row>
    <row r="29" ht="15.75" customHeight="1">
      <c r="A29" s="214" t="s">
        <v>505</v>
      </c>
      <c r="B29" s="216">
        <v>5219.0</v>
      </c>
      <c r="C29" s="216">
        <v>1180.0</v>
      </c>
      <c r="D29" s="217">
        <v>20.0</v>
      </c>
      <c r="E29" s="219" t="s">
        <v>242</v>
      </c>
      <c r="F29" s="219" t="s">
        <v>362</v>
      </c>
      <c r="G29" s="214" t="s">
        <v>405</v>
      </c>
      <c r="H29" s="221">
        <v>44547.0</v>
      </c>
      <c r="I29" s="219" t="s">
        <v>506</v>
      </c>
      <c r="J29" s="219" t="s">
        <v>223</v>
      </c>
      <c r="K29" s="219" t="s">
        <v>428</v>
      </c>
      <c r="L29" s="214" t="s">
        <v>452</v>
      </c>
      <c r="M29" s="222">
        <v>2021.0</v>
      </c>
      <c r="N29" s="214" t="s">
        <v>400</v>
      </c>
      <c r="O29" s="223">
        <v>4.0</v>
      </c>
      <c r="P29" s="224">
        <f t="shared" si="1"/>
        <v>0.2260969534</v>
      </c>
      <c r="Q29" s="214" t="str">
        <f t="shared" si="2"/>
        <v>High</v>
      </c>
    </row>
    <row r="30" ht="15.75" customHeight="1">
      <c r="A30" s="214" t="s">
        <v>505</v>
      </c>
      <c r="B30" s="216">
        <v>5219.0</v>
      </c>
      <c r="C30" s="216">
        <v>1180.0</v>
      </c>
      <c r="D30" s="217">
        <v>20.0</v>
      </c>
      <c r="E30" s="219" t="s">
        <v>242</v>
      </c>
      <c r="F30" s="219" t="s">
        <v>362</v>
      </c>
      <c r="G30" s="214" t="s">
        <v>405</v>
      </c>
      <c r="H30" s="221">
        <v>44960.0</v>
      </c>
      <c r="I30" s="219" t="s">
        <v>507</v>
      </c>
      <c r="J30" s="219" t="s">
        <v>117</v>
      </c>
      <c r="K30" s="219" t="s">
        <v>508</v>
      </c>
      <c r="L30" s="214" t="s">
        <v>466</v>
      </c>
      <c r="M30" s="222">
        <v>2023.0</v>
      </c>
      <c r="N30" s="214" t="s">
        <v>494</v>
      </c>
      <c r="O30" s="223">
        <v>1.0</v>
      </c>
      <c r="P30" s="224">
        <f t="shared" si="1"/>
        <v>0.2260969534</v>
      </c>
      <c r="Q30" s="214" t="str">
        <f t="shared" si="2"/>
        <v>High</v>
      </c>
    </row>
    <row r="31" ht="15.75" customHeight="1">
      <c r="A31" s="214" t="s">
        <v>509</v>
      </c>
      <c r="B31" s="216">
        <v>3686.0</v>
      </c>
      <c r="C31" s="216">
        <v>760.0</v>
      </c>
      <c r="D31" s="217">
        <v>20.0</v>
      </c>
      <c r="E31" s="219" t="s">
        <v>242</v>
      </c>
      <c r="F31" s="219" t="s">
        <v>356</v>
      </c>
      <c r="G31" s="214" t="s">
        <v>351</v>
      </c>
      <c r="H31" s="221">
        <v>44864.0</v>
      </c>
      <c r="I31" s="219" t="s">
        <v>510</v>
      </c>
      <c r="J31" s="219" t="s">
        <v>117</v>
      </c>
      <c r="K31" s="219" t="s">
        <v>508</v>
      </c>
      <c r="L31" s="214" t="s">
        <v>463</v>
      </c>
      <c r="M31" s="222">
        <v>2022.0</v>
      </c>
      <c r="N31" s="214" t="s">
        <v>414</v>
      </c>
      <c r="O31" s="223">
        <v>4.0</v>
      </c>
      <c r="P31" s="224">
        <f t="shared" si="1"/>
        <v>0.206185567</v>
      </c>
      <c r="Q31" s="214" t="str">
        <f t="shared" si="2"/>
        <v>Medium</v>
      </c>
    </row>
    <row r="32" ht="15.75" customHeight="1">
      <c r="A32" s="214" t="s">
        <v>509</v>
      </c>
      <c r="B32" s="216">
        <v>3686.0</v>
      </c>
      <c r="C32" s="216">
        <v>760.0</v>
      </c>
      <c r="D32" s="217">
        <v>20.0</v>
      </c>
      <c r="E32" s="219" t="s">
        <v>242</v>
      </c>
      <c r="F32" s="219" t="s">
        <v>356</v>
      </c>
      <c r="G32" s="214" t="s">
        <v>351</v>
      </c>
      <c r="H32" s="221">
        <v>44576.0</v>
      </c>
      <c r="I32" s="219" t="s">
        <v>511</v>
      </c>
      <c r="J32" s="219" t="s">
        <v>313</v>
      </c>
      <c r="K32" s="219" t="s">
        <v>512</v>
      </c>
      <c r="L32" s="214" t="s">
        <v>453</v>
      </c>
      <c r="M32" s="222">
        <v>2022.0</v>
      </c>
      <c r="N32" s="214" t="s">
        <v>497</v>
      </c>
      <c r="O32" s="223">
        <v>1.0</v>
      </c>
      <c r="P32" s="224">
        <f t="shared" si="1"/>
        <v>0.206185567</v>
      </c>
      <c r="Q32" s="214" t="str">
        <f t="shared" si="2"/>
        <v>Medium</v>
      </c>
    </row>
    <row r="33" ht="15.75" customHeight="1">
      <c r="A33" s="214" t="s">
        <v>513</v>
      </c>
      <c r="B33" s="216">
        <v>6045.0</v>
      </c>
      <c r="C33" s="216">
        <v>1606.0</v>
      </c>
      <c r="D33" s="217">
        <v>4.0</v>
      </c>
      <c r="E33" s="219" t="s">
        <v>242</v>
      </c>
      <c r="F33" s="219" t="s">
        <v>357</v>
      </c>
      <c r="G33" s="214" t="s">
        <v>405</v>
      </c>
      <c r="H33" s="221">
        <v>45274.0</v>
      </c>
      <c r="I33" s="219" t="s">
        <v>514</v>
      </c>
      <c r="J33" s="219" t="s">
        <v>159</v>
      </c>
      <c r="K33" s="219" t="s">
        <v>409</v>
      </c>
      <c r="L33" s="214" t="s">
        <v>476</v>
      </c>
      <c r="M33" s="222">
        <v>2023.0</v>
      </c>
      <c r="N33" s="214" t="s">
        <v>400</v>
      </c>
      <c r="O33" s="223">
        <v>4.0</v>
      </c>
      <c r="P33" s="224">
        <f t="shared" si="1"/>
        <v>0.2656741108</v>
      </c>
      <c r="Q33" s="214" t="str">
        <f t="shared" si="2"/>
        <v>High</v>
      </c>
    </row>
    <row r="34" ht="15.75" customHeight="1">
      <c r="A34" s="214" t="s">
        <v>513</v>
      </c>
      <c r="B34" s="216">
        <v>9337.0</v>
      </c>
      <c r="C34" s="216">
        <v>554.0</v>
      </c>
      <c r="D34" s="217">
        <v>11.0</v>
      </c>
      <c r="E34" s="219" t="s">
        <v>242</v>
      </c>
      <c r="F34" s="219" t="s">
        <v>356</v>
      </c>
      <c r="G34" s="214" t="s">
        <v>405</v>
      </c>
      <c r="H34" s="221">
        <v>45274.0</v>
      </c>
      <c r="I34" s="219" t="s">
        <v>514</v>
      </c>
      <c r="J34" s="219" t="s">
        <v>159</v>
      </c>
      <c r="K34" s="219" t="s">
        <v>409</v>
      </c>
      <c r="L34" s="214" t="s">
        <v>476</v>
      </c>
      <c r="M34" s="222">
        <v>2023.0</v>
      </c>
      <c r="N34" s="214" t="s">
        <v>400</v>
      </c>
      <c r="O34" s="223">
        <v>4.0</v>
      </c>
      <c r="P34" s="224">
        <f t="shared" si="1"/>
        <v>0.05933383314</v>
      </c>
      <c r="Q34" s="214" t="str">
        <f t="shared" si="2"/>
        <v>High</v>
      </c>
    </row>
    <row r="35" ht="15.75" customHeight="1">
      <c r="A35" s="214" t="s">
        <v>515</v>
      </c>
      <c r="B35" s="216">
        <v>4051.0</v>
      </c>
      <c r="C35" s="216">
        <v>1848.0</v>
      </c>
      <c r="D35" s="217">
        <v>12.0</v>
      </c>
      <c r="E35" s="219" t="s">
        <v>157</v>
      </c>
      <c r="F35" s="219" t="s">
        <v>358</v>
      </c>
      <c r="G35" s="214" t="s">
        <v>350</v>
      </c>
      <c r="H35" s="221">
        <v>45110.0</v>
      </c>
      <c r="I35" s="219" t="s">
        <v>516</v>
      </c>
      <c r="J35" s="219" t="s">
        <v>117</v>
      </c>
      <c r="K35" s="219" t="s">
        <v>496</v>
      </c>
      <c r="L35" s="214" t="s">
        <v>471</v>
      </c>
      <c r="M35" s="222">
        <v>2023.0</v>
      </c>
      <c r="N35" s="214" t="s">
        <v>404</v>
      </c>
      <c r="O35" s="223">
        <v>3.0</v>
      </c>
      <c r="P35" s="224">
        <f t="shared" si="1"/>
        <v>0.4561836584</v>
      </c>
      <c r="Q35" s="214" t="str">
        <f t="shared" si="2"/>
        <v>Medium</v>
      </c>
    </row>
    <row r="36" ht="15.75" customHeight="1">
      <c r="A36" s="214" t="s">
        <v>515</v>
      </c>
      <c r="B36" s="216">
        <v>4051.0</v>
      </c>
      <c r="C36" s="216">
        <v>1848.0</v>
      </c>
      <c r="D36" s="217">
        <v>12.0</v>
      </c>
      <c r="E36" s="219" t="s">
        <v>157</v>
      </c>
      <c r="F36" s="219" t="s">
        <v>358</v>
      </c>
      <c r="G36" s="214" t="s">
        <v>350</v>
      </c>
      <c r="H36" s="221">
        <v>44324.0</v>
      </c>
      <c r="I36" s="219" t="s">
        <v>517</v>
      </c>
      <c r="J36" s="219" t="s">
        <v>313</v>
      </c>
      <c r="K36" s="219" t="s">
        <v>518</v>
      </c>
      <c r="L36" s="214" t="s">
        <v>443</v>
      </c>
      <c r="M36" s="222">
        <v>2021.0</v>
      </c>
      <c r="N36" s="214" t="s">
        <v>411</v>
      </c>
      <c r="O36" s="223">
        <v>2.0</v>
      </c>
      <c r="P36" s="224">
        <f t="shared" si="1"/>
        <v>0.4561836584</v>
      </c>
      <c r="Q36" s="214" t="str">
        <f t="shared" si="2"/>
        <v>Medium</v>
      </c>
    </row>
    <row r="37" ht="15.75" customHeight="1">
      <c r="A37" s="214" t="s">
        <v>515</v>
      </c>
      <c r="B37" s="216">
        <v>5011.0</v>
      </c>
      <c r="C37" s="216">
        <v>866.0</v>
      </c>
      <c r="D37" s="217">
        <v>11.0</v>
      </c>
      <c r="E37" s="219" t="s">
        <v>216</v>
      </c>
      <c r="F37" s="219" t="s">
        <v>361</v>
      </c>
      <c r="G37" s="214" t="s">
        <v>350</v>
      </c>
      <c r="H37" s="221">
        <v>45110.0</v>
      </c>
      <c r="I37" s="219" t="s">
        <v>516</v>
      </c>
      <c r="J37" s="219" t="s">
        <v>117</v>
      </c>
      <c r="K37" s="219" t="s">
        <v>496</v>
      </c>
      <c r="L37" s="214" t="s">
        <v>471</v>
      </c>
      <c r="M37" s="222">
        <v>2023.0</v>
      </c>
      <c r="N37" s="214" t="s">
        <v>404</v>
      </c>
      <c r="O37" s="223">
        <v>3.0</v>
      </c>
      <c r="P37" s="224">
        <f t="shared" si="1"/>
        <v>0.1728197964</v>
      </c>
      <c r="Q37" s="214" t="str">
        <f t="shared" si="2"/>
        <v>High</v>
      </c>
    </row>
    <row r="38" ht="15.75" customHeight="1">
      <c r="A38" s="214" t="s">
        <v>515</v>
      </c>
      <c r="B38" s="216">
        <v>5011.0</v>
      </c>
      <c r="C38" s="216">
        <v>866.0</v>
      </c>
      <c r="D38" s="217">
        <v>11.0</v>
      </c>
      <c r="E38" s="219" t="s">
        <v>216</v>
      </c>
      <c r="F38" s="219" t="s">
        <v>361</v>
      </c>
      <c r="G38" s="214" t="s">
        <v>350</v>
      </c>
      <c r="H38" s="221">
        <v>44324.0</v>
      </c>
      <c r="I38" s="219" t="s">
        <v>517</v>
      </c>
      <c r="J38" s="219" t="s">
        <v>313</v>
      </c>
      <c r="K38" s="219" t="s">
        <v>518</v>
      </c>
      <c r="L38" s="214" t="s">
        <v>443</v>
      </c>
      <c r="M38" s="222">
        <v>2021.0</v>
      </c>
      <c r="N38" s="214" t="s">
        <v>411</v>
      </c>
      <c r="O38" s="223">
        <v>2.0</v>
      </c>
      <c r="P38" s="224">
        <f t="shared" si="1"/>
        <v>0.1728197964</v>
      </c>
      <c r="Q38" s="214" t="str">
        <f t="shared" si="2"/>
        <v>High</v>
      </c>
    </row>
    <row r="39" ht="15.75" customHeight="1">
      <c r="A39" s="214" t="s">
        <v>519</v>
      </c>
      <c r="B39" s="216">
        <v>3958.0</v>
      </c>
      <c r="C39" s="216">
        <v>630.0</v>
      </c>
      <c r="D39" s="217">
        <v>15.0</v>
      </c>
      <c r="E39" s="219" t="s">
        <v>216</v>
      </c>
      <c r="F39" s="219" t="s">
        <v>347</v>
      </c>
      <c r="G39" s="214" t="s">
        <v>406</v>
      </c>
      <c r="H39" s="221">
        <v>44841.0</v>
      </c>
      <c r="I39" s="219" t="s">
        <v>520</v>
      </c>
      <c r="J39" s="219" t="s">
        <v>159</v>
      </c>
      <c r="K39" s="219" t="s">
        <v>409</v>
      </c>
      <c r="L39" s="214" t="s">
        <v>463</v>
      </c>
      <c r="M39" s="222">
        <v>2022.0</v>
      </c>
      <c r="N39" s="214" t="s">
        <v>414</v>
      </c>
      <c r="O39" s="223">
        <v>4.0</v>
      </c>
      <c r="P39" s="224">
        <f t="shared" si="1"/>
        <v>0.1591712986</v>
      </c>
      <c r="Q39" s="214" t="str">
        <f t="shared" si="2"/>
        <v>Medium</v>
      </c>
    </row>
    <row r="40" ht="15.75" customHeight="1">
      <c r="A40" s="214" t="s">
        <v>519</v>
      </c>
      <c r="B40" s="216">
        <v>3132.0</v>
      </c>
      <c r="C40" s="216">
        <v>963.0</v>
      </c>
      <c r="D40" s="217">
        <v>1.0</v>
      </c>
      <c r="E40" s="219" t="s">
        <v>216</v>
      </c>
      <c r="F40" s="219" t="s">
        <v>344</v>
      </c>
      <c r="G40" s="214" t="s">
        <v>351</v>
      </c>
      <c r="H40" s="221">
        <v>44841.0</v>
      </c>
      <c r="I40" s="219" t="s">
        <v>520</v>
      </c>
      <c r="J40" s="219" t="s">
        <v>159</v>
      </c>
      <c r="K40" s="219" t="s">
        <v>409</v>
      </c>
      <c r="L40" s="214" t="s">
        <v>463</v>
      </c>
      <c r="M40" s="222">
        <v>2022.0</v>
      </c>
      <c r="N40" s="214" t="s">
        <v>414</v>
      </c>
      <c r="O40" s="223">
        <v>4.0</v>
      </c>
      <c r="P40" s="224">
        <f t="shared" si="1"/>
        <v>0.3074712644</v>
      </c>
      <c r="Q40" s="214" t="str">
        <f t="shared" si="2"/>
        <v>Medium</v>
      </c>
    </row>
    <row r="41" ht="15.75" customHeight="1">
      <c r="A41" s="214" t="s">
        <v>521</v>
      </c>
      <c r="B41" s="216">
        <v>7784.0</v>
      </c>
      <c r="C41" s="216">
        <v>2937.0</v>
      </c>
      <c r="D41" s="217">
        <v>12.0</v>
      </c>
      <c r="E41" s="219" t="s">
        <v>242</v>
      </c>
      <c r="F41" s="219" t="s">
        <v>317</v>
      </c>
      <c r="G41" s="214" t="s">
        <v>392</v>
      </c>
      <c r="H41" s="221">
        <v>45510.0</v>
      </c>
      <c r="I41" s="219" t="s">
        <v>522</v>
      </c>
      <c r="J41" s="219" t="s">
        <v>117</v>
      </c>
      <c r="K41" s="219" t="s">
        <v>508</v>
      </c>
      <c r="L41" s="214" t="s">
        <v>483</v>
      </c>
      <c r="M41" s="222">
        <v>2024.0</v>
      </c>
      <c r="N41" s="214" t="s">
        <v>523</v>
      </c>
      <c r="O41" s="223">
        <v>3.0</v>
      </c>
      <c r="P41" s="224">
        <f t="shared" si="1"/>
        <v>0.3773124358</v>
      </c>
      <c r="Q41" s="214" t="str">
        <f t="shared" si="2"/>
        <v>High</v>
      </c>
    </row>
    <row r="42" ht="15.75" customHeight="1">
      <c r="A42" s="214" t="s">
        <v>521</v>
      </c>
      <c r="B42" s="216">
        <v>5591.0</v>
      </c>
      <c r="C42" s="216">
        <v>1696.0</v>
      </c>
      <c r="D42" s="217">
        <v>3.0</v>
      </c>
      <c r="E42" s="219" t="s">
        <v>242</v>
      </c>
      <c r="F42" s="219" t="s">
        <v>356</v>
      </c>
      <c r="G42" s="214" t="s">
        <v>405</v>
      </c>
      <c r="H42" s="221">
        <v>45510.0</v>
      </c>
      <c r="I42" s="219" t="s">
        <v>522</v>
      </c>
      <c r="J42" s="219" t="s">
        <v>117</v>
      </c>
      <c r="K42" s="219" t="s">
        <v>508</v>
      </c>
      <c r="L42" s="214" t="s">
        <v>483</v>
      </c>
      <c r="M42" s="222">
        <v>2024.0</v>
      </c>
      <c r="N42" s="214" t="s">
        <v>523</v>
      </c>
      <c r="O42" s="223">
        <v>3.0</v>
      </c>
      <c r="P42" s="224">
        <f t="shared" si="1"/>
        <v>0.3033446611</v>
      </c>
      <c r="Q42" s="214" t="str">
        <f t="shared" si="2"/>
        <v>High</v>
      </c>
    </row>
    <row r="43" ht="15.75" customHeight="1">
      <c r="A43" s="214" t="s">
        <v>521</v>
      </c>
      <c r="B43" s="216">
        <v>5122.0</v>
      </c>
      <c r="C43" s="216">
        <v>2413.0</v>
      </c>
      <c r="D43" s="217">
        <v>12.0</v>
      </c>
      <c r="E43" s="219" t="s">
        <v>157</v>
      </c>
      <c r="F43" s="219" t="s">
        <v>355</v>
      </c>
      <c r="G43" s="214" t="s">
        <v>405</v>
      </c>
      <c r="H43" s="221">
        <v>45510.0</v>
      </c>
      <c r="I43" s="219" t="s">
        <v>522</v>
      </c>
      <c r="J43" s="219" t="s">
        <v>117</v>
      </c>
      <c r="K43" s="219" t="s">
        <v>508</v>
      </c>
      <c r="L43" s="214" t="s">
        <v>483</v>
      </c>
      <c r="M43" s="222">
        <v>2024.0</v>
      </c>
      <c r="N43" s="214" t="s">
        <v>523</v>
      </c>
      <c r="O43" s="223">
        <v>3.0</v>
      </c>
      <c r="P43" s="224">
        <f t="shared" si="1"/>
        <v>0.4711050371</v>
      </c>
      <c r="Q43" s="214" t="str">
        <f t="shared" si="2"/>
        <v>High</v>
      </c>
    </row>
    <row r="44" ht="15.75" customHeight="1">
      <c r="A44" s="214" t="s">
        <v>524</v>
      </c>
      <c r="B44" s="216">
        <v>8293.0</v>
      </c>
      <c r="C44" s="216">
        <v>2632.0</v>
      </c>
      <c r="D44" s="217">
        <v>8.0</v>
      </c>
      <c r="E44" s="219" t="s">
        <v>242</v>
      </c>
      <c r="F44" s="219" t="s">
        <v>362</v>
      </c>
      <c r="G44" s="214" t="s">
        <v>405</v>
      </c>
      <c r="H44" s="221">
        <v>44566.0</v>
      </c>
      <c r="I44" s="219" t="s">
        <v>525</v>
      </c>
      <c r="J44" s="219" t="s">
        <v>313</v>
      </c>
      <c r="K44" s="219" t="s">
        <v>526</v>
      </c>
      <c r="L44" s="214" t="s">
        <v>453</v>
      </c>
      <c r="M44" s="222">
        <v>2022.0</v>
      </c>
      <c r="N44" s="214" t="s">
        <v>497</v>
      </c>
      <c r="O44" s="223">
        <v>1.0</v>
      </c>
      <c r="P44" s="224">
        <f t="shared" si="1"/>
        <v>0.3173761003</v>
      </c>
      <c r="Q44" s="214" t="str">
        <f t="shared" si="2"/>
        <v>High</v>
      </c>
    </row>
    <row r="45" ht="15.75" customHeight="1">
      <c r="A45" s="214" t="s">
        <v>524</v>
      </c>
      <c r="B45" s="216">
        <v>8293.0</v>
      </c>
      <c r="C45" s="216">
        <v>2632.0</v>
      </c>
      <c r="D45" s="217">
        <v>8.0</v>
      </c>
      <c r="E45" s="219" t="s">
        <v>242</v>
      </c>
      <c r="F45" s="219" t="s">
        <v>362</v>
      </c>
      <c r="G45" s="214" t="s">
        <v>405</v>
      </c>
      <c r="H45" s="221">
        <v>44121.0</v>
      </c>
      <c r="I45" s="219" t="s">
        <v>527</v>
      </c>
      <c r="J45" s="219" t="s">
        <v>223</v>
      </c>
      <c r="K45" s="219" t="s">
        <v>473</v>
      </c>
      <c r="L45" s="214" t="s">
        <v>435</v>
      </c>
      <c r="M45" s="222">
        <v>2020.0</v>
      </c>
      <c r="N45" s="214" t="s">
        <v>414</v>
      </c>
      <c r="O45" s="223">
        <v>4.0</v>
      </c>
      <c r="P45" s="224">
        <f t="shared" si="1"/>
        <v>0.3173761003</v>
      </c>
      <c r="Q45" s="214" t="str">
        <f t="shared" si="2"/>
        <v>High</v>
      </c>
    </row>
    <row r="46" ht="15.75" customHeight="1">
      <c r="A46" s="214" t="s">
        <v>524</v>
      </c>
      <c r="B46" s="216">
        <v>8293.0</v>
      </c>
      <c r="C46" s="216">
        <v>2632.0</v>
      </c>
      <c r="D46" s="217">
        <v>8.0</v>
      </c>
      <c r="E46" s="219" t="s">
        <v>242</v>
      </c>
      <c r="F46" s="219" t="s">
        <v>362</v>
      </c>
      <c r="G46" s="214" t="s">
        <v>405</v>
      </c>
      <c r="H46" s="221">
        <v>45159.0</v>
      </c>
      <c r="I46" s="219" t="s">
        <v>528</v>
      </c>
      <c r="J46" s="219" t="s">
        <v>117</v>
      </c>
      <c r="K46" s="219" t="s">
        <v>423</v>
      </c>
      <c r="L46" s="214" t="s">
        <v>472</v>
      </c>
      <c r="M46" s="222">
        <v>2023.0</v>
      </c>
      <c r="N46" s="214" t="s">
        <v>523</v>
      </c>
      <c r="O46" s="223">
        <v>3.0</v>
      </c>
      <c r="P46" s="224">
        <f t="shared" si="1"/>
        <v>0.3173761003</v>
      </c>
      <c r="Q46" s="214" t="str">
        <f t="shared" si="2"/>
        <v>High</v>
      </c>
    </row>
    <row r="47" ht="15.75" customHeight="1">
      <c r="A47" s="214" t="s">
        <v>524</v>
      </c>
      <c r="B47" s="216">
        <v>2863.0</v>
      </c>
      <c r="C47" s="216">
        <v>205.0</v>
      </c>
      <c r="D47" s="217">
        <v>17.0</v>
      </c>
      <c r="E47" s="219" t="s">
        <v>157</v>
      </c>
      <c r="F47" s="219" t="s">
        <v>358</v>
      </c>
      <c r="G47" s="214" t="s">
        <v>392</v>
      </c>
      <c r="H47" s="221">
        <v>44566.0</v>
      </c>
      <c r="I47" s="219" t="s">
        <v>525</v>
      </c>
      <c r="J47" s="219" t="s">
        <v>313</v>
      </c>
      <c r="K47" s="219" t="s">
        <v>526</v>
      </c>
      <c r="L47" s="214" t="s">
        <v>453</v>
      </c>
      <c r="M47" s="222">
        <v>2022.0</v>
      </c>
      <c r="N47" s="214" t="s">
        <v>497</v>
      </c>
      <c r="O47" s="223">
        <v>1.0</v>
      </c>
      <c r="P47" s="224">
        <f t="shared" si="1"/>
        <v>0.07160321341</v>
      </c>
      <c r="Q47" s="214" t="str">
        <f t="shared" si="2"/>
        <v>Medium</v>
      </c>
    </row>
    <row r="48" ht="15.75" customHeight="1">
      <c r="A48" s="214" t="s">
        <v>524</v>
      </c>
      <c r="B48" s="216">
        <v>2863.0</v>
      </c>
      <c r="C48" s="216">
        <v>205.0</v>
      </c>
      <c r="D48" s="217">
        <v>17.0</v>
      </c>
      <c r="E48" s="219" t="s">
        <v>157</v>
      </c>
      <c r="F48" s="219" t="s">
        <v>358</v>
      </c>
      <c r="G48" s="214" t="s">
        <v>392</v>
      </c>
      <c r="H48" s="221">
        <v>44121.0</v>
      </c>
      <c r="I48" s="219" t="s">
        <v>527</v>
      </c>
      <c r="J48" s="219" t="s">
        <v>223</v>
      </c>
      <c r="K48" s="219" t="s">
        <v>473</v>
      </c>
      <c r="L48" s="214" t="s">
        <v>435</v>
      </c>
      <c r="M48" s="222">
        <v>2020.0</v>
      </c>
      <c r="N48" s="214" t="s">
        <v>414</v>
      </c>
      <c r="O48" s="223">
        <v>4.0</v>
      </c>
      <c r="P48" s="224">
        <f t="shared" si="1"/>
        <v>0.07160321341</v>
      </c>
      <c r="Q48" s="214" t="str">
        <f t="shared" si="2"/>
        <v>Medium</v>
      </c>
    </row>
    <row r="49" ht="15.75" customHeight="1">
      <c r="A49" s="214" t="s">
        <v>524</v>
      </c>
      <c r="B49" s="216">
        <v>2863.0</v>
      </c>
      <c r="C49" s="216">
        <v>205.0</v>
      </c>
      <c r="D49" s="217">
        <v>17.0</v>
      </c>
      <c r="E49" s="219" t="s">
        <v>157</v>
      </c>
      <c r="F49" s="219" t="s">
        <v>358</v>
      </c>
      <c r="G49" s="214" t="s">
        <v>392</v>
      </c>
      <c r="H49" s="221">
        <v>45159.0</v>
      </c>
      <c r="I49" s="219" t="s">
        <v>528</v>
      </c>
      <c r="J49" s="219" t="s">
        <v>117</v>
      </c>
      <c r="K49" s="219" t="s">
        <v>423</v>
      </c>
      <c r="L49" s="214" t="s">
        <v>472</v>
      </c>
      <c r="M49" s="222">
        <v>2023.0</v>
      </c>
      <c r="N49" s="214" t="s">
        <v>523</v>
      </c>
      <c r="O49" s="223">
        <v>3.0</v>
      </c>
      <c r="P49" s="224">
        <f t="shared" si="1"/>
        <v>0.07160321341</v>
      </c>
      <c r="Q49" s="214" t="str">
        <f t="shared" si="2"/>
        <v>Medium</v>
      </c>
    </row>
    <row r="50" ht="15.75" customHeight="1">
      <c r="A50" s="214" t="s">
        <v>529</v>
      </c>
      <c r="B50" s="216">
        <v>3090.0</v>
      </c>
      <c r="C50" s="216">
        <v>573.0</v>
      </c>
      <c r="D50" s="217">
        <v>6.0</v>
      </c>
      <c r="E50" s="219" t="s">
        <v>216</v>
      </c>
      <c r="F50" s="219" t="s">
        <v>344</v>
      </c>
      <c r="G50" s="214" t="s">
        <v>406</v>
      </c>
      <c r="H50" s="221">
        <v>45653.0</v>
      </c>
      <c r="I50" s="219" t="s">
        <v>530</v>
      </c>
      <c r="J50" s="219" t="s">
        <v>117</v>
      </c>
      <c r="K50" s="219" t="s">
        <v>496</v>
      </c>
      <c r="L50" s="214" t="s">
        <v>399</v>
      </c>
      <c r="M50" s="222">
        <v>2024.0</v>
      </c>
      <c r="N50" s="214" t="s">
        <v>400</v>
      </c>
      <c r="O50" s="223">
        <v>4.0</v>
      </c>
      <c r="P50" s="224">
        <f t="shared" si="1"/>
        <v>0.1854368932</v>
      </c>
      <c r="Q50" s="214" t="str">
        <f t="shared" si="2"/>
        <v>Medium</v>
      </c>
    </row>
    <row r="51" ht="15.75" customHeight="1">
      <c r="A51" s="214" t="s">
        <v>529</v>
      </c>
      <c r="B51" s="216">
        <v>3090.0</v>
      </c>
      <c r="C51" s="216">
        <v>573.0</v>
      </c>
      <c r="D51" s="217">
        <v>6.0</v>
      </c>
      <c r="E51" s="219" t="s">
        <v>216</v>
      </c>
      <c r="F51" s="219" t="s">
        <v>344</v>
      </c>
      <c r="G51" s="214" t="s">
        <v>406</v>
      </c>
      <c r="H51" s="221">
        <v>44365.0</v>
      </c>
      <c r="I51" s="219" t="s">
        <v>531</v>
      </c>
      <c r="J51" s="219" t="s">
        <v>313</v>
      </c>
      <c r="K51" s="219" t="s">
        <v>518</v>
      </c>
      <c r="L51" s="214" t="s">
        <v>444</v>
      </c>
      <c r="M51" s="222">
        <v>2021.0</v>
      </c>
      <c r="N51" s="214" t="s">
        <v>396</v>
      </c>
      <c r="O51" s="223">
        <v>2.0</v>
      </c>
      <c r="P51" s="224">
        <f t="shared" si="1"/>
        <v>0.1854368932</v>
      </c>
      <c r="Q51" s="214" t="str">
        <f t="shared" si="2"/>
        <v>Medium</v>
      </c>
    </row>
    <row r="52" ht="15.75" customHeight="1">
      <c r="A52" s="214" t="s">
        <v>529</v>
      </c>
      <c r="B52" s="216">
        <v>3090.0</v>
      </c>
      <c r="C52" s="216">
        <v>573.0</v>
      </c>
      <c r="D52" s="217">
        <v>6.0</v>
      </c>
      <c r="E52" s="219" t="s">
        <v>216</v>
      </c>
      <c r="F52" s="219" t="s">
        <v>344</v>
      </c>
      <c r="G52" s="214" t="s">
        <v>406</v>
      </c>
      <c r="H52" s="221">
        <v>45073.0</v>
      </c>
      <c r="I52" s="219" t="s">
        <v>532</v>
      </c>
      <c r="J52" s="219" t="s">
        <v>241</v>
      </c>
      <c r="K52" s="219" t="s">
        <v>504</v>
      </c>
      <c r="L52" s="214" t="s">
        <v>469</v>
      </c>
      <c r="M52" s="222">
        <v>2023.0</v>
      </c>
      <c r="N52" s="214" t="s">
        <v>411</v>
      </c>
      <c r="O52" s="223">
        <v>2.0</v>
      </c>
      <c r="P52" s="224">
        <f t="shared" si="1"/>
        <v>0.1854368932</v>
      </c>
      <c r="Q52" s="214" t="str">
        <f t="shared" si="2"/>
        <v>Medium</v>
      </c>
    </row>
    <row r="53" ht="15.75" customHeight="1">
      <c r="A53" s="214" t="s">
        <v>529</v>
      </c>
      <c r="B53" s="216">
        <v>3090.0</v>
      </c>
      <c r="C53" s="216">
        <v>573.0</v>
      </c>
      <c r="D53" s="217">
        <v>6.0</v>
      </c>
      <c r="E53" s="219" t="s">
        <v>216</v>
      </c>
      <c r="F53" s="219" t="s">
        <v>344</v>
      </c>
      <c r="G53" s="214" t="s">
        <v>406</v>
      </c>
      <c r="H53" s="221">
        <v>44481.0</v>
      </c>
      <c r="I53" s="219" t="s">
        <v>533</v>
      </c>
      <c r="J53" s="219" t="s">
        <v>241</v>
      </c>
      <c r="K53" s="219" t="s">
        <v>493</v>
      </c>
      <c r="L53" s="214" t="s">
        <v>413</v>
      </c>
      <c r="M53" s="222">
        <v>2021.0</v>
      </c>
      <c r="N53" s="214" t="s">
        <v>414</v>
      </c>
      <c r="O53" s="223">
        <v>4.0</v>
      </c>
      <c r="P53" s="224">
        <f t="shared" si="1"/>
        <v>0.1854368932</v>
      </c>
      <c r="Q53" s="214" t="str">
        <f t="shared" si="2"/>
        <v>Medium</v>
      </c>
    </row>
    <row r="54" ht="15.75" customHeight="1">
      <c r="A54" s="214" t="s">
        <v>529</v>
      </c>
      <c r="B54" s="216">
        <v>9683.0</v>
      </c>
      <c r="C54" s="216">
        <v>1014.0</v>
      </c>
      <c r="D54" s="217">
        <v>5.0</v>
      </c>
      <c r="E54" s="219" t="s">
        <v>157</v>
      </c>
      <c r="F54" s="219" t="s">
        <v>354</v>
      </c>
      <c r="G54" s="214" t="s">
        <v>392</v>
      </c>
      <c r="H54" s="221">
        <v>45653.0</v>
      </c>
      <c r="I54" s="219" t="s">
        <v>530</v>
      </c>
      <c r="J54" s="219" t="s">
        <v>117</v>
      </c>
      <c r="K54" s="219" t="s">
        <v>496</v>
      </c>
      <c r="L54" s="214" t="s">
        <v>399</v>
      </c>
      <c r="M54" s="222">
        <v>2024.0</v>
      </c>
      <c r="N54" s="214" t="s">
        <v>400</v>
      </c>
      <c r="O54" s="223">
        <v>4.0</v>
      </c>
      <c r="P54" s="224">
        <f t="shared" si="1"/>
        <v>0.1047196117</v>
      </c>
      <c r="Q54" s="214" t="str">
        <f t="shared" si="2"/>
        <v>High</v>
      </c>
    </row>
    <row r="55" ht="15.75" customHeight="1">
      <c r="A55" s="214" t="s">
        <v>529</v>
      </c>
      <c r="B55" s="216">
        <v>9683.0</v>
      </c>
      <c r="C55" s="216">
        <v>1014.0</v>
      </c>
      <c r="D55" s="217">
        <v>5.0</v>
      </c>
      <c r="E55" s="219" t="s">
        <v>157</v>
      </c>
      <c r="F55" s="219" t="s">
        <v>354</v>
      </c>
      <c r="G55" s="214" t="s">
        <v>392</v>
      </c>
      <c r="H55" s="221">
        <v>44365.0</v>
      </c>
      <c r="I55" s="219" t="s">
        <v>531</v>
      </c>
      <c r="J55" s="219" t="s">
        <v>313</v>
      </c>
      <c r="K55" s="219" t="s">
        <v>518</v>
      </c>
      <c r="L55" s="214" t="s">
        <v>444</v>
      </c>
      <c r="M55" s="222">
        <v>2021.0</v>
      </c>
      <c r="N55" s="214" t="s">
        <v>396</v>
      </c>
      <c r="O55" s="223">
        <v>2.0</v>
      </c>
      <c r="P55" s="224">
        <f t="shared" si="1"/>
        <v>0.1047196117</v>
      </c>
      <c r="Q55" s="214" t="str">
        <f t="shared" si="2"/>
        <v>High</v>
      </c>
    </row>
    <row r="56" ht="15.75" customHeight="1">
      <c r="A56" s="214" t="s">
        <v>529</v>
      </c>
      <c r="B56" s="216">
        <v>9683.0</v>
      </c>
      <c r="C56" s="216">
        <v>1014.0</v>
      </c>
      <c r="D56" s="217">
        <v>5.0</v>
      </c>
      <c r="E56" s="219" t="s">
        <v>157</v>
      </c>
      <c r="F56" s="219" t="s">
        <v>354</v>
      </c>
      <c r="G56" s="214" t="s">
        <v>392</v>
      </c>
      <c r="H56" s="221">
        <v>45073.0</v>
      </c>
      <c r="I56" s="219" t="s">
        <v>532</v>
      </c>
      <c r="J56" s="219" t="s">
        <v>241</v>
      </c>
      <c r="K56" s="219" t="s">
        <v>504</v>
      </c>
      <c r="L56" s="214" t="s">
        <v>469</v>
      </c>
      <c r="M56" s="222">
        <v>2023.0</v>
      </c>
      <c r="N56" s="214" t="s">
        <v>411</v>
      </c>
      <c r="O56" s="223">
        <v>2.0</v>
      </c>
      <c r="P56" s="224">
        <f t="shared" si="1"/>
        <v>0.1047196117</v>
      </c>
      <c r="Q56" s="214" t="str">
        <f t="shared" si="2"/>
        <v>High</v>
      </c>
    </row>
    <row r="57" ht="15.75" customHeight="1">
      <c r="A57" s="214" t="s">
        <v>529</v>
      </c>
      <c r="B57" s="216">
        <v>9683.0</v>
      </c>
      <c r="C57" s="216">
        <v>1014.0</v>
      </c>
      <c r="D57" s="217">
        <v>5.0</v>
      </c>
      <c r="E57" s="219" t="s">
        <v>157</v>
      </c>
      <c r="F57" s="219" t="s">
        <v>354</v>
      </c>
      <c r="G57" s="214" t="s">
        <v>392</v>
      </c>
      <c r="H57" s="221">
        <v>44481.0</v>
      </c>
      <c r="I57" s="219" t="s">
        <v>533</v>
      </c>
      <c r="J57" s="219" t="s">
        <v>241</v>
      </c>
      <c r="K57" s="219" t="s">
        <v>493</v>
      </c>
      <c r="L57" s="214" t="s">
        <v>413</v>
      </c>
      <c r="M57" s="222">
        <v>2021.0</v>
      </c>
      <c r="N57" s="214" t="s">
        <v>414</v>
      </c>
      <c r="O57" s="223">
        <v>4.0</v>
      </c>
      <c r="P57" s="224">
        <f t="shared" si="1"/>
        <v>0.1047196117</v>
      </c>
      <c r="Q57" s="214" t="str">
        <f t="shared" si="2"/>
        <v>High</v>
      </c>
    </row>
    <row r="58" ht="15.75" customHeight="1">
      <c r="A58" s="214" t="s">
        <v>534</v>
      </c>
      <c r="B58" s="216">
        <v>2463.0</v>
      </c>
      <c r="C58" s="216">
        <v>648.0</v>
      </c>
      <c r="D58" s="217">
        <v>18.0</v>
      </c>
      <c r="E58" s="219" t="s">
        <v>216</v>
      </c>
      <c r="F58" s="219" t="s">
        <v>344</v>
      </c>
      <c r="G58" s="214" t="s">
        <v>406</v>
      </c>
      <c r="H58" s="221">
        <v>44823.0</v>
      </c>
      <c r="I58" s="219" t="s">
        <v>535</v>
      </c>
      <c r="J58" s="219" t="s">
        <v>313</v>
      </c>
      <c r="K58" s="219" t="s">
        <v>518</v>
      </c>
      <c r="L58" s="214" t="s">
        <v>462</v>
      </c>
      <c r="M58" s="222">
        <v>2022.0</v>
      </c>
      <c r="N58" s="214" t="s">
        <v>536</v>
      </c>
      <c r="O58" s="223">
        <v>3.0</v>
      </c>
      <c r="P58" s="224">
        <f t="shared" si="1"/>
        <v>0.2630937881</v>
      </c>
      <c r="Q58" s="214" t="str">
        <f t="shared" si="2"/>
        <v>Medium</v>
      </c>
    </row>
    <row r="59" ht="15.75" customHeight="1">
      <c r="A59" s="214" t="s">
        <v>537</v>
      </c>
      <c r="B59" s="216">
        <v>7811.0</v>
      </c>
      <c r="C59" s="216">
        <v>1538.0</v>
      </c>
      <c r="D59" s="217">
        <v>12.0</v>
      </c>
      <c r="E59" s="219" t="s">
        <v>216</v>
      </c>
      <c r="F59" s="219" t="s">
        <v>347</v>
      </c>
      <c r="G59" s="214" t="s">
        <v>405</v>
      </c>
      <c r="H59" s="221">
        <v>44645.0</v>
      </c>
      <c r="I59" s="219" t="s">
        <v>538</v>
      </c>
      <c r="J59" s="219" t="s">
        <v>159</v>
      </c>
      <c r="K59" s="219" t="s">
        <v>394</v>
      </c>
      <c r="L59" s="214" t="s">
        <v>455</v>
      </c>
      <c r="M59" s="222">
        <v>2022.0</v>
      </c>
      <c r="N59" s="214" t="s">
        <v>433</v>
      </c>
      <c r="O59" s="223">
        <v>1.0</v>
      </c>
      <c r="P59" s="224">
        <f t="shared" si="1"/>
        <v>0.1969018051</v>
      </c>
      <c r="Q59" s="214" t="str">
        <f t="shared" si="2"/>
        <v>High</v>
      </c>
    </row>
    <row r="60" ht="15.75" customHeight="1">
      <c r="A60" s="214" t="s">
        <v>539</v>
      </c>
      <c r="B60" s="216">
        <v>6139.0</v>
      </c>
      <c r="C60" s="216">
        <v>451.0</v>
      </c>
      <c r="D60" s="217">
        <v>10.0</v>
      </c>
      <c r="E60" s="219" t="s">
        <v>216</v>
      </c>
      <c r="F60" s="219" t="s">
        <v>344</v>
      </c>
      <c r="G60" s="214" t="s">
        <v>351</v>
      </c>
      <c r="H60" s="221">
        <v>44618.0</v>
      </c>
      <c r="I60" s="219" t="s">
        <v>540</v>
      </c>
      <c r="J60" s="219" t="s">
        <v>159</v>
      </c>
      <c r="K60" s="219" t="s">
        <v>409</v>
      </c>
      <c r="L60" s="214" t="s">
        <v>454</v>
      </c>
      <c r="M60" s="222">
        <v>2022.0</v>
      </c>
      <c r="N60" s="214" t="s">
        <v>494</v>
      </c>
      <c r="O60" s="223">
        <v>1.0</v>
      </c>
      <c r="P60" s="224">
        <f t="shared" si="1"/>
        <v>0.07346473367</v>
      </c>
      <c r="Q60" s="214" t="str">
        <f t="shared" si="2"/>
        <v>High</v>
      </c>
    </row>
    <row r="61" ht="15.75" customHeight="1">
      <c r="A61" s="214" t="s">
        <v>539</v>
      </c>
      <c r="B61" s="216">
        <v>6139.0</v>
      </c>
      <c r="C61" s="216">
        <v>451.0</v>
      </c>
      <c r="D61" s="217">
        <v>10.0</v>
      </c>
      <c r="E61" s="219" t="s">
        <v>216</v>
      </c>
      <c r="F61" s="219" t="s">
        <v>344</v>
      </c>
      <c r="G61" s="214" t="s">
        <v>351</v>
      </c>
      <c r="H61" s="221">
        <v>44291.0</v>
      </c>
      <c r="I61" s="219" t="s">
        <v>507</v>
      </c>
      <c r="J61" s="219" t="s">
        <v>241</v>
      </c>
      <c r="K61" s="219" t="s">
        <v>541</v>
      </c>
      <c r="L61" s="214" t="s">
        <v>442</v>
      </c>
      <c r="M61" s="222">
        <v>2021.0</v>
      </c>
      <c r="N61" s="214" t="s">
        <v>542</v>
      </c>
      <c r="O61" s="223">
        <v>2.0</v>
      </c>
      <c r="P61" s="224">
        <f t="shared" si="1"/>
        <v>0.07346473367</v>
      </c>
      <c r="Q61" s="214" t="str">
        <f t="shared" si="2"/>
        <v>High</v>
      </c>
    </row>
    <row r="62" ht="15.75" customHeight="1">
      <c r="A62" s="214" t="s">
        <v>539</v>
      </c>
      <c r="B62" s="216">
        <v>8636.0</v>
      </c>
      <c r="C62" s="216">
        <v>3192.0</v>
      </c>
      <c r="D62" s="217">
        <v>3.0</v>
      </c>
      <c r="E62" s="219" t="s">
        <v>216</v>
      </c>
      <c r="F62" s="219" t="s">
        <v>359</v>
      </c>
      <c r="G62" s="214" t="s">
        <v>405</v>
      </c>
      <c r="H62" s="221">
        <v>44618.0</v>
      </c>
      <c r="I62" s="219" t="s">
        <v>540</v>
      </c>
      <c r="J62" s="219" t="s">
        <v>159</v>
      </c>
      <c r="K62" s="219" t="s">
        <v>409</v>
      </c>
      <c r="L62" s="214" t="s">
        <v>454</v>
      </c>
      <c r="M62" s="222">
        <v>2022.0</v>
      </c>
      <c r="N62" s="214" t="s">
        <v>494</v>
      </c>
      <c r="O62" s="223">
        <v>1.0</v>
      </c>
      <c r="P62" s="224">
        <f t="shared" si="1"/>
        <v>0.3696155628</v>
      </c>
      <c r="Q62" s="214" t="str">
        <f t="shared" si="2"/>
        <v>High</v>
      </c>
    </row>
    <row r="63" ht="15.75" customHeight="1">
      <c r="A63" s="214" t="s">
        <v>539</v>
      </c>
      <c r="B63" s="216">
        <v>8636.0</v>
      </c>
      <c r="C63" s="216">
        <v>3192.0</v>
      </c>
      <c r="D63" s="217">
        <v>3.0</v>
      </c>
      <c r="E63" s="219" t="s">
        <v>216</v>
      </c>
      <c r="F63" s="219" t="s">
        <v>359</v>
      </c>
      <c r="G63" s="214" t="s">
        <v>405</v>
      </c>
      <c r="H63" s="221">
        <v>44291.0</v>
      </c>
      <c r="I63" s="219" t="s">
        <v>507</v>
      </c>
      <c r="J63" s="219" t="s">
        <v>241</v>
      </c>
      <c r="K63" s="219" t="s">
        <v>541</v>
      </c>
      <c r="L63" s="214" t="s">
        <v>442</v>
      </c>
      <c r="M63" s="222">
        <v>2021.0</v>
      </c>
      <c r="N63" s="214" t="s">
        <v>542</v>
      </c>
      <c r="O63" s="223">
        <v>2.0</v>
      </c>
      <c r="P63" s="224">
        <f t="shared" si="1"/>
        <v>0.3696155628</v>
      </c>
      <c r="Q63" s="214" t="str">
        <f t="shared" si="2"/>
        <v>High</v>
      </c>
    </row>
    <row r="64" ht="15.75" customHeight="1">
      <c r="A64" s="214" t="s">
        <v>539</v>
      </c>
      <c r="B64" s="216">
        <v>4439.0</v>
      </c>
      <c r="C64" s="216">
        <v>1712.0</v>
      </c>
      <c r="D64" s="217">
        <v>19.0</v>
      </c>
      <c r="E64" s="219" t="s">
        <v>216</v>
      </c>
      <c r="F64" s="219" t="s">
        <v>347</v>
      </c>
      <c r="G64" s="214" t="s">
        <v>350</v>
      </c>
      <c r="H64" s="221">
        <v>44618.0</v>
      </c>
      <c r="I64" s="219" t="s">
        <v>540</v>
      </c>
      <c r="J64" s="219" t="s">
        <v>159</v>
      </c>
      <c r="K64" s="219" t="s">
        <v>409</v>
      </c>
      <c r="L64" s="214" t="s">
        <v>454</v>
      </c>
      <c r="M64" s="222">
        <v>2022.0</v>
      </c>
      <c r="N64" s="214" t="s">
        <v>494</v>
      </c>
      <c r="O64" s="223">
        <v>1.0</v>
      </c>
      <c r="P64" s="224">
        <f t="shared" si="1"/>
        <v>0.3856724487</v>
      </c>
      <c r="Q64" s="214" t="str">
        <f t="shared" si="2"/>
        <v>Medium</v>
      </c>
    </row>
    <row r="65" ht="15.75" customHeight="1">
      <c r="A65" s="214" t="s">
        <v>539</v>
      </c>
      <c r="B65" s="216">
        <v>4439.0</v>
      </c>
      <c r="C65" s="216">
        <v>1712.0</v>
      </c>
      <c r="D65" s="217">
        <v>19.0</v>
      </c>
      <c r="E65" s="219" t="s">
        <v>216</v>
      </c>
      <c r="F65" s="219" t="s">
        <v>347</v>
      </c>
      <c r="G65" s="214" t="s">
        <v>350</v>
      </c>
      <c r="H65" s="221">
        <v>44291.0</v>
      </c>
      <c r="I65" s="219" t="s">
        <v>507</v>
      </c>
      <c r="J65" s="219" t="s">
        <v>241</v>
      </c>
      <c r="K65" s="219" t="s">
        <v>541</v>
      </c>
      <c r="L65" s="214" t="s">
        <v>442</v>
      </c>
      <c r="M65" s="222">
        <v>2021.0</v>
      </c>
      <c r="N65" s="214" t="s">
        <v>542</v>
      </c>
      <c r="O65" s="223">
        <v>2.0</v>
      </c>
      <c r="P65" s="224">
        <f t="shared" si="1"/>
        <v>0.3856724487</v>
      </c>
      <c r="Q65" s="214" t="str">
        <f t="shared" si="2"/>
        <v>Medium</v>
      </c>
    </row>
    <row r="66" ht="15.75" customHeight="1">
      <c r="A66" s="214" t="s">
        <v>543</v>
      </c>
      <c r="B66" s="216">
        <v>1016.0</v>
      </c>
      <c r="C66" s="216">
        <v>172.0</v>
      </c>
      <c r="D66" s="217">
        <v>20.0</v>
      </c>
      <c r="E66" s="219" t="s">
        <v>216</v>
      </c>
      <c r="F66" s="219" t="s">
        <v>344</v>
      </c>
      <c r="G66" s="214" t="s">
        <v>351</v>
      </c>
      <c r="H66" s="221">
        <v>44151.0</v>
      </c>
      <c r="I66" s="219" t="s">
        <v>544</v>
      </c>
      <c r="J66" s="219" t="s">
        <v>223</v>
      </c>
      <c r="K66" s="219" t="s">
        <v>402</v>
      </c>
      <c r="L66" s="214" t="s">
        <v>436</v>
      </c>
      <c r="M66" s="222">
        <v>2020.0</v>
      </c>
      <c r="N66" s="214" t="s">
        <v>425</v>
      </c>
      <c r="O66" s="223">
        <v>4.0</v>
      </c>
      <c r="P66" s="224">
        <f t="shared" si="1"/>
        <v>0.1692913386</v>
      </c>
      <c r="Q66" s="214" t="str">
        <f t="shared" si="2"/>
        <v>Medium</v>
      </c>
    </row>
    <row r="67" ht="15.75" customHeight="1">
      <c r="A67" s="214" t="s">
        <v>543</v>
      </c>
      <c r="B67" s="216">
        <v>5768.0</v>
      </c>
      <c r="C67" s="216">
        <v>2059.0</v>
      </c>
      <c r="D67" s="217">
        <v>14.0</v>
      </c>
      <c r="E67" s="219" t="s">
        <v>216</v>
      </c>
      <c r="F67" s="219" t="s">
        <v>344</v>
      </c>
      <c r="G67" s="214" t="s">
        <v>392</v>
      </c>
      <c r="H67" s="221">
        <v>44151.0</v>
      </c>
      <c r="I67" s="219" t="s">
        <v>544</v>
      </c>
      <c r="J67" s="219" t="s">
        <v>223</v>
      </c>
      <c r="K67" s="219" t="s">
        <v>402</v>
      </c>
      <c r="L67" s="214" t="s">
        <v>436</v>
      </c>
      <c r="M67" s="222">
        <v>2020.0</v>
      </c>
      <c r="N67" s="214" t="s">
        <v>425</v>
      </c>
      <c r="O67" s="223">
        <v>4.0</v>
      </c>
      <c r="P67" s="224">
        <f t="shared" si="1"/>
        <v>0.3569694868</v>
      </c>
      <c r="Q67" s="214" t="str">
        <f t="shared" si="2"/>
        <v>High</v>
      </c>
    </row>
    <row r="68" ht="15.75" customHeight="1">
      <c r="A68" s="214" t="s">
        <v>543</v>
      </c>
      <c r="B68" s="216">
        <v>1217.0</v>
      </c>
      <c r="C68" s="216">
        <v>151.0</v>
      </c>
      <c r="D68" s="217">
        <v>3.0</v>
      </c>
      <c r="E68" s="219" t="s">
        <v>216</v>
      </c>
      <c r="F68" s="219" t="s">
        <v>344</v>
      </c>
      <c r="G68" s="214" t="s">
        <v>350</v>
      </c>
      <c r="H68" s="221">
        <v>44151.0</v>
      </c>
      <c r="I68" s="219" t="s">
        <v>544</v>
      </c>
      <c r="J68" s="219" t="s">
        <v>223</v>
      </c>
      <c r="K68" s="219" t="s">
        <v>402</v>
      </c>
      <c r="L68" s="214" t="s">
        <v>436</v>
      </c>
      <c r="M68" s="222">
        <v>2020.0</v>
      </c>
      <c r="N68" s="214" t="s">
        <v>425</v>
      </c>
      <c r="O68" s="223">
        <v>4.0</v>
      </c>
      <c r="P68" s="224">
        <f t="shared" si="1"/>
        <v>0.1240755957</v>
      </c>
      <c r="Q68" s="214" t="str">
        <f t="shared" si="2"/>
        <v>Medium</v>
      </c>
    </row>
    <row r="69" ht="15.75" customHeight="1">
      <c r="A69" s="214" t="s">
        <v>545</v>
      </c>
      <c r="B69" s="216">
        <v>953.0</v>
      </c>
      <c r="C69" s="216">
        <v>93.0</v>
      </c>
      <c r="D69" s="217">
        <v>2.0</v>
      </c>
      <c r="E69" s="219" t="s">
        <v>242</v>
      </c>
      <c r="F69" s="219" t="s">
        <v>357</v>
      </c>
      <c r="G69" s="214" t="s">
        <v>351</v>
      </c>
      <c r="H69" s="221">
        <v>45638.0</v>
      </c>
      <c r="I69" s="219" t="s">
        <v>546</v>
      </c>
      <c r="J69" s="219" t="s">
        <v>313</v>
      </c>
      <c r="K69" s="219" t="s">
        <v>526</v>
      </c>
      <c r="L69" s="214" t="s">
        <v>399</v>
      </c>
      <c r="M69" s="222">
        <v>2024.0</v>
      </c>
      <c r="N69" s="214" t="s">
        <v>400</v>
      </c>
      <c r="O69" s="223">
        <v>4.0</v>
      </c>
      <c r="P69" s="224">
        <f t="shared" si="1"/>
        <v>0.09758656873</v>
      </c>
      <c r="Q69" s="214" t="str">
        <f t="shared" si="2"/>
        <v>Medium</v>
      </c>
    </row>
    <row r="70" ht="15.75" customHeight="1">
      <c r="A70" s="214" t="s">
        <v>545</v>
      </c>
      <c r="B70" s="216">
        <v>953.0</v>
      </c>
      <c r="C70" s="216">
        <v>93.0</v>
      </c>
      <c r="D70" s="217">
        <v>2.0</v>
      </c>
      <c r="E70" s="219" t="s">
        <v>242</v>
      </c>
      <c r="F70" s="219" t="s">
        <v>357</v>
      </c>
      <c r="G70" s="214" t="s">
        <v>351</v>
      </c>
      <c r="H70" s="221">
        <v>45022.0</v>
      </c>
      <c r="I70" s="219" t="s">
        <v>547</v>
      </c>
      <c r="J70" s="219" t="s">
        <v>117</v>
      </c>
      <c r="K70" s="219" t="s">
        <v>423</v>
      </c>
      <c r="L70" s="214" t="s">
        <v>468</v>
      </c>
      <c r="M70" s="222">
        <v>2023.0</v>
      </c>
      <c r="N70" s="214" t="s">
        <v>542</v>
      </c>
      <c r="O70" s="223">
        <v>2.0</v>
      </c>
      <c r="P70" s="224">
        <f t="shared" si="1"/>
        <v>0.09758656873</v>
      </c>
      <c r="Q70" s="214" t="str">
        <f t="shared" si="2"/>
        <v>Medium</v>
      </c>
    </row>
    <row r="71" ht="15.75" customHeight="1">
      <c r="A71" s="214" t="s">
        <v>545</v>
      </c>
      <c r="B71" s="216">
        <v>7355.0</v>
      </c>
      <c r="C71" s="216">
        <v>1034.0</v>
      </c>
      <c r="D71" s="217">
        <v>3.0</v>
      </c>
      <c r="E71" s="219" t="s">
        <v>216</v>
      </c>
      <c r="F71" s="219" t="s">
        <v>347</v>
      </c>
      <c r="G71" s="214" t="s">
        <v>405</v>
      </c>
      <c r="H71" s="221">
        <v>45638.0</v>
      </c>
      <c r="I71" s="219" t="s">
        <v>546</v>
      </c>
      <c r="J71" s="219" t="s">
        <v>313</v>
      </c>
      <c r="K71" s="219" t="s">
        <v>526</v>
      </c>
      <c r="L71" s="214" t="s">
        <v>399</v>
      </c>
      <c r="M71" s="222">
        <v>2024.0</v>
      </c>
      <c r="N71" s="214" t="s">
        <v>400</v>
      </c>
      <c r="O71" s="223">
        <v>4.0</v>
      </c>
      <c r="P71" s="224">
        <f t="shared" si="1"/>
        <v>0.1405846363</v>
      </c>
      <c r="Q71" s="214" t="str">
        <f t="shared" si="2"/>
        <v>High</v>
      </c>
    </row>
    <row r="72" ht="15.75" customHeight="1">
      <c r="A72" s="214" t="s">
        <v>545</v>
      </c>
      <c r="B72" s="216">
        <v>7355.0</v>
      </c>
      <c r="C72" s="216">
        <v>1034.0</v>
      </c>
      <c r="D72" s="217">
        <v>3.0</v>
      </c>
      <c r="E72" s="219" t="s">
        <v>216</v>
      </c>
      <c r="F72" s="219" t="s">
        <v>347</v>
      </c>
      <c r="G72" s="214" t="s">
        <v>405</v>
      </c>
      <c r="H72" s="221">
        <v>45022.0</v>
      </c>
      <c r="I72" s="219" t="s">
        <v>547</v>
      </c>
      <c r="J72" s="219" t="s">
        <v>117</v>
      </c>
      <c r="K72" s="219" t="s">
        <v>423</v>
      </c>
      <c r="L72" s="214" t="s">
        <v>468</v>
      </c>
      <c r="M72" s="222">
        <v>2023.0</v>
      </c>
      <c r="N72" s="214" t="s">
        <v>542</v>
      </c>
      <c r="O72" s="223">
        <v>2.0</v>
      </c>
      <c r="P72" s="224">
        <f t="shared" si="1"/>
        <v>0.1405846363</v>
      </c>
      <c r="Q72" s="214" t="str">
        <f t="shared" si="2"/>
        <v>High</v>
      </c>
    </row>
    <row r="73" ht="15.75" customHeight="1">
      <c r="A73" s="214" t="s">
        <v>545</v>
      </c>
      <c r="B73" s="216">
        <v>1843.0</v>
      </c>
      <c r="C73" s="216">
        <v>248.0</v>
      </c>
      <c r="D73" s="217">
        <v>3.0</v>
      </c>
      <c r="E73" s="219" t="s">
        <v>157</v>
      </c>
      <c r="F73" s="219" t="s">
        <v>358</v>
      </c>
      <c r="G73" s="214" t="s">
        <v>350</v>
      </c>
      <c r="H73" s="221">
        <v>45638.0</v>
      </c>
      <c r="I73" s="219" t="s">
        <v>546</v>
      </c>
      <c r="J73" s="219" t="s">
        <v>313</v>
      </c>
      <c r="K73" s="219" t="s">
        <v>526</v>
      </c>
      <c r="L73" s="214" t="s">
        <v>399</v>
      </c>
      <c r="M73" s="222">
        <v>2024.0</v>
      </c>
      <c r="N73" s="214" t="s">
        <v>400</v>
      </c>
      <c r="O73" s="223">
        <v>4.0</v>
      </c>
      <c r="P73" s="224">
        <f t="shared" si="1"/>
        <v>0.1345632122</v>
      </c>
      <c r="Q73" s="214" t="str">
        <f t="shared" si="2"/>
        <v>Medium</v>
      </c>
    </row>
    <row r="74" ht="15.75" customHeight="1">
      <c r="A74" s="214" t="s">
        <v>545</v>
      </c>
      <c r="B74" s="216">
        <v>1843.0</v>
      </c>
      <c r="C74" s="216">
        <v>248.0</v>
      </c>
      <c r="D74" s="217">
        <v>3.0</v>
      </c>
      <c r="E74" s="219" t="s">
        <v>157</v>
      </c>
      <c r="F74" s="219" t="s">
        <v>358</v>
      </c>
      <c r="G74" s="214" t="s">
        <v>350</v>
      </c>
      <c r="H74" s="221">
        <v>45022.0</v>
      </c>
      <c r="I74" s="219" t="s">
        <v>547</v>
      </c>
      <c r="J74" s="219" t="s">
        <v>117</v>
      </c>
      <c r="K74" s="219" t="s">
        <v>423</v>
      </c>
      <c r="L74" s="214" t="s">
        <v>468</v>
      </c>
      <c r="M74" s="222">
        <v>2023.0</v>
      </c>
      <c r="N74" s="214" t="s">
        <v>542</v>
      </c>
      <c r="O74" s="223">
        <v>2.0</v>
      </c>
      <c r="P74" s="224">
        <f t="shared" si="1"/>
        <v>0.1345632122</v>
      </c>
      <c r="Q74" s="214" t="str">
        <f t="shared" si="2"/>
        <v>Medium</v>
      </c>
    </row>
    <row r="75" ht="15.75" customHeight="1">
      <c r="A75" s="214" t="s">
        <v>545</v>
      </c>
      <c r="B75" s="216">
        <v>1603.0</v>
      </c>
      <c r="C75" s="216">
        <v>361.0</v>
      </c>
      <c r="D75" s="217">
        <v>10.0</v>
      </c>
      <c r="E75" s="219" t="s">
        <v>242</v>
      </c>
      <c r="F75" s="219" t="s">
        <v>356</v>
      </c>
      <c r="G75" s="214" t="s">
        <v>351</v>
      </c>
      <c r="H75" s="221">
        <v>45638.0</v>
      </c>
      <c r="I75" s="219" t="s">
        <v>546</v>
      </c>
      <c r="J75" s="219" t="s">
        <v>313</v>
      </c>
      <c r="K75" s="219" t="s">
        <v>526</v>
      </c>
      <c r="L75" s="214" t="s">
        <v>399</v>
      </c>
      <c r="M75" s="222">
        <v>2024.0</v>
      </c>
      <c r="N75" s="214" t="s">
        <v>400</v>
      </c>
      <c r="O75" s="223">
        <v>4.0</v>
      </c>
      <c r="P75" s="224">
        <f t="shared" si="1"/>
        <v>0.2252027449</v>
      </c>
      <c r="Q75" s="214" t="str">
        <f t="shared" si="2"/>
        <v>Medium</v>
      </c>
    </row>
    <row r="76" ht="15.75" customHeight="1">
      <c r="A76" s="214" t="s">
        <v>545</v>
      </c>
      <c r="B76" s="216">
        <v>1603.0</v>
      </c>
      <c r="C76" s="216">
        <v>361.0</v>
      </c>
      <c r="D76" s="217">
        <v>10.0</v>
      </c>
      <c r="E76" s="219" t="s">
        <v>242</v>
      </c>
      <c r="F76" s="219" t="s">
        <v>356</v>
      </c>
      <c r="G76" s="214" t="s">
        <v>351</v>
      </c>
      <c r="H76" s="221">
        <v>45022.0</v>
      </c>
      <c r="I76" s="219" t="s">
        <v>547</v>
      </c>
      <c r="J76" s="219" t="s">
        <v>117</v>
      </c>
      <c r="K76" s="219" t="s">
        <v>423</v>
      </c>
      <c r="L76" s="214" t="s">
        <v>468</v>
      </c>
      <c r="M76" s="222">
        <v>2023.0</v>
      </c>
      <c r="N76" s="214" t="s">
        <v>542</v>
      </c>
      <c r="O76" s="223">
        <v>2.0</v>
      </c>
      <c r="P76" s="224">
        <f t="shared" si="1"/>
        <v>0.2252027449</v>
      </c>
      <c r="Q76" s="214" t="str">
        <f t="shared" si="2"/>
        <v>Medium</v>
      </c>
    </row>
    <row r="77" ht="15.75" customHeight="1">
      <c r="A77" s="214" t="s">
        <v>548</v>
      </c>
      <c r="B77" s="216">
        <v>2025.0</v>
      </c>
      <c r="C77" s="216">
        <v>528.0</v>
      </c>
      <c r="D77" s="217">
        <v>1.0</v>
      </c>
      <c r="E77" s="219" t="s">
        <v>242</v>
      </c>
      <c r="F77" s="219" t="s">
        <v>356</v>
      </c>
      <c r="G77" s="214" t="s">
        <v>350</v>
      </c>
      <c r="H77" s="221">
        <v>45319.0</v>
      </c>
      <c r="I77" s="219" t="s">
        <v>549</v>
      </c>
      <c r="J77" s="219" t="s">
        <v>159</v>
      </c>
      <c r="K77" s="219" t="s">
        <v>394</v>
      </c>
      <c r="L77" s="214" t="s">
        <v>477</v>
      </c>
      <c r="M77" s="222">
        <v>2024.0</v>
      </c>
      <c r="N77" s="214" t="s">
        <v>497</v>
      </c>
      <c r="O77" s="223">
        <v>1.0</v>
      </c>
      <c r="P77" s="224">
        <f t="shared" si="1"/>
        <v>0.2607407407</v>
      </c>
      <c r="Q77" s="214" t="str">
        <f t="shared" si="2"/>
        <v>Medium</v>
      </c>
    </row>
    <row r="78" ht="15.75" customHeight="1">
      <c r="A78" s="214" t="s">
        <v>548</v>
      </c>
      <c r="B78" s="216">
        <v>6800.0</v>
      </c>
      <c r="C78" s="216">
        <v>167.0</v>
      </c>
      <c r="D78" s="217">
        <v>16.0</v>
      </c>
      <c r="E78" s="219" t="s">
        <v>242</v>
      </c>
      <c r="F78" s="219" t="s">
        <v>362</v>
      </c>
      <c r="G78" s="214" t="s">
        <v>406</v>
      </c>
      <c r="H78" s="221">
        <v>45319.0</v>
      </c>
      <c r="I78" s="219" t="s">
        <v>549</v>
      </c>
      <c r="J78" s="219" t="s">
        <v>159</v>
      </c>
      <c r="K78" s="219" t="s">
        <v>394</v>
      </c>
      <c r="L78" s="214" t="s">
        <v>477</v>
      </c>
      <c r="M78" s="222">
        <v>2024.0</v>
      </c>
      <c r="N78" s="214" t="s">
        <v>497</v>
      </c>
      <c r="O78" s="223">
        <v>1.0</v>
      </c>
      <c r="P78" s="224">
        <f t="shared" si="1"/>
        <v>0.02455882353</v>
      </c>
      <c r="Q78" s="214" t="str">
        <f t="shared" si="2"/>
        <v>High</v>
      </c>
    </row>
    <row r="79" ht="15.75" customHeight="1">
      <c r="A79" s="214" t="s">
        <v>550</v>
      </c>
      <c r="B79" s="216">
        <v>1126.0</v>
      </c>
      <c r="C79" s="216">
        <v>55.0</v>
      </c>
      <c r="D79" s="217">
        <v>1.0</v>
      </c>
      <c r="E79" s="219" t="s">
        <v>216</v>
      </c>
      <c r="F79" s="219" t="s">
        <v>361</v>
      </c>
      <c r="G79" s="214" t="s">
        <v>392</v>
      </c>
      <c r="H79" s="221">
        <v>44577.0</v>
      </c>
      <c r="I79" s="219" t="s">
        <v>551</v>
      </c>
      <c r="J79" s="219" t="s">
        <v>159</v>
      </c>
      <c r="K79" s="219" t="s">
        <v>552</v>
      </c>
      <c r="L79" s="214" t="s">
        <v>453</v>
      </c>
      <c r="M79" s="222">
        <v>2022.0</v>
      </c>
      <c r="N79" s="214" t="s">
        <v>497</v>
      </c>
      <c r="O79" s="223">
        <v>1.0</v>
      </c>
      <c r="P79" s="224">
        <f t="shared" si="1"/>
        <v>0.04884547069</v>
      </c>
      <c r="Q79" s="214" t="str">
        <f t="shared" si="2"/>
        <v>Medium</v>
      </c>
    </row>
    <row r="80" ht="15.75" customHeight="1">
      <c r="A80" s="214" t="s">
        <v>550</v>
      </c>
      <c r="B80" s="216">
        <v>1126.0</v>
      </c>
      <c r="C80" s="216">
        <v>55.0</v>
      </c>
      <c r="D80" s="217">
        <v>1.0</v>
      </c>
      <c r="E80" s="219" t="s">
        <v>216</v>
      </c>
      <c r="F80" s="219" t="s">
        <v>361</v>
      </c>
      <c r="G80" s="214" t="s">
        <v>392</v>
      </c>
      <c r="H80" s="221">
        <v>44911.0</v>
      </c>
      <c r="I80" s="219" t="s">
        <v>553</v>
      </c>
      <c r="J80" s="219" t="s">
        <v>223</v>
      </c>
      <c r="K80" s="219" t="s">
        <v>402</v>
      </c>
      <c r="L80" s="214" t="s">
        <v>464</v>
      </c>
      <c r="M80" s="222">
        <v>2022.0</v>
      </c>
      <c r="N80" s="214" t="s">
        <v>400</v>
      </c>
      <c r="O80" s="223">
        <v>4.0</v>
      </c>
      <c r="P80" s="224">
        <f t="shared" si="1"/>
        <v>0.04884547069</v>
      </c>
      <c r="Q80" s="214" t="str">
        <f t="shared" si="2"/>
        <v>Medium</v>
      </c>
    </row>
    <row r="81" ht="15.75" customHeight="1">
      <c r="A81" s="214" t="s">
        <v>554</v>
      </c>
      <c r="B81" s="216">
        <v>7533.0</v>
      </c>
      <c r="C81" s="216">
        <v>3508.0</v>
      </c>
      <c r="D81" s="217">
        <v>12.0</v>
      </c>
      <c r="E81" s="219" t="s">
        <v>216</v>
      </c>
      <c r="F81" s="219" t="s">
        <v>344</v>
      </c>
      <c r="G81" s="214" t="s">
        <v>392</v>
      </c>
      <c r="H81" s="221">
        <v>45120.0</v>
      </c>
      <c r="I81" s="219" t="s">
        <v>555</v>
      </c>
      <c r="J81" s="219" t="s">
        <v>117</v>
      </c>
      <c r="K81" s="219" t="s">
        <v>496</v>
      </c>
      <c r="L81" s="214" t="s">
        <v>471</v>
      </c>
      <c r="M81" s="222">
        <v>2023.0</v>
      </c>
      <c r="N81" s="214" t="s">
        <v>404</v>
      </c>
      <c r="O81" s="223">
        <v>3.0</v>
      </c>
      <c r="P81" s="224">
        <f t="shared" si="1"/>
        <v>0.4656843223</v>
      </c>
      <c r="Q81" s="214" t="str">
        <f t="shared" si="2"/>
        <v>High</v>
      </c>
    </row>
    <row r="82" ht="15.75" customHeight="1">
      <c r="A82" s="214" t="s">
        <v>554</v>
      </c>
      <c r="B82" s="216">
        <v>4734.0</v>
      </c>
      <c r="C82" s="216">
        <v>1178.0</v>
      </c>
      <c r="D82" s="217">
        <v>16.0</v>
      </c>
      <c r="E82" s="219" t="s">
        <v>242</v>
      </c>
      <c r="F82" s="219" t="s">
        <v>362</v>
      </c>
      <c r="G82" s="214" t="s">
        <v>350</v>
      </c>
      <c r="H82" s="221">
        <v>45120.0</v>
      </c>
      <c r="I82" s="219" t="s">
        <v>555</v>
      </c>
      <c r="J82" s="219" t="s">
        <v>117</v>
      </c>
      <c r="K82" s="219" t="s">
        <v>496</v>
      </c>
      <c r="L82" s="214" t="s">
        <v>471</v>
      </c>
      <c r="M82" s="222">
        <v>2023.0</v>
      </c>
      <c r="N82" s="214" t="s">
        <v>404</v>
      </c>
      <c r="O82" s="223">
        <v>3.0</v>
      </c>
      <c r="P82" s="224">
        <f t="shared" si="1"/>
        <v>0.2488381918</v>
      </c>
      <c r="Q82" s="214" t="str">
        <f t="shared" si="2"/>
        <v>Medium</v>
      </c>
    </row>
    <row r="83" ht="15.75" customHeight="1">
      <c r="A83" s="214" t="s">
        <v>554</v>
      </c>
      <c r="B83" s="216">
        <v>4074.0</v>
      </c>
      <c r="C83" s="216">
        <v>1175.0</v>
      </c>
      <c r="D83" s="217">
        <v>6.0</v>
      </c>
      <c r="E83" s="219" t="s">
        <v>157</v>
      </c>
      <c r="F83" s="219" t="s">
        <v>355</v>
      </c>
      <c r="G83" s="214" t="s">
        <v>351</v>
      </c>
      <c r="H83" s="221">
        <v>45120.0</v>
      </c>
      <c r="I83" s="219" t="s">
        <v>555</v>
      </c>
      <c r="J83" s="219" t="s">
        <v>117</v>
      </c>
      <c r="K83" s="219" t="s">
        <v>496</v>
      </c>
      <c r="L83" s="214" t="s">
        <v>471</v>
      </c>
      <c r="M83" s="222">
        <v>2023.0</v>
      </c>
      <c r="N83" s="214" t="s">
        <v>404</v>
      </c>
      <c r="O83" s="223">
        <v>3.0</v>
      </c>
      <c r="P83" s="224">
        <f t="shared" si="1"/>
        <v>0.2884143348</v>
      </c>
      <c r="Q83" s="214" t="str">
        <f t="shared" si="2"/>
        <v>Medium</v>
      </c>
    </row>
    <row r="84" ht="15.75" customHeight="1">
      <c r="A84" s="214" t="s">
        <v>554</v>
      </c>
      <c r="B84" s="216">
        <v>2334.0</v>
      </c>
      <c r="C84" s="216">
        <v>484.0</v>
      </c>
      <c r="D84" s="217">
        <v>3.0</v>
      </c>
      <c r="E84" s="219" t="s">
        <v>216</v>
      </c>
      <c r="F84" s="219" t="s">
        <v>347</v>
      </c>
      <c r="G84" s="214" t="s">
        <v>350</v>
      </c>
      <c r="H84" s="221">
        <v>45120.0</v>
      </c>
      <c r="I84" s="219" t="s">
        <v>555</v>
      </c>
      <c r="J84" s="219" t="s">
        <v>117</v>
      </c>
      <c r="K84" s="219" t="s">
        <v>496</v>
      </c>
      <c r="L84" s="214" t="s">
        <v>471</v>
      </c>
      <c r="M84" s="222">
        <v>2023.0</v>
      </c>
      <c r="N84" s="214" t="s">
        <v>404</v>
      </c>
      <c r="O84" s="223">
        <v>3.0</v>
      </c>
      <c r="P84" s="224">
        <f t="shared" si="1"/>
        <v>0.2073693231</v>
      </c>
      <c r="Q84" s="214" t="str">
        <f t="shared" si="2"/>
        <v>Medium</v>
      </c>
    </row>
    <row r="85" ht="15.75" customHeight="1">
      <c r="A85" s="214" t="s">
        <v>556</v>
      </c>
      <c r="B85" s="216">
        <v>2750.0</v>
      </c>
      <c r="C85" s="216">
        <v>1239.0</v>
      </c>
      <c r="D85" s="217">
        <v>11.0</v>
      </c>
      <c r="E85" s="219" t="s">
        <v>157</v>
      </c>
      <c r="F85" s="219" t="s">
        <v>358</v>
      </c>
      <c r="G85" s="214" t="s">
        <v>351</v>
      </c>
      <c r="H85" s="221">
        <v>45726.0</v>
      </c>
      <c r="I85" s="219" t="s">
        <v>557</v>
      </c>
      <c r="J85" s="219" t="s">
        <v>223</v>
      </c>
      <c r="K85" s="219" t="s">
        <v>402</v>
      </c>
      <c r="L85" s="214" t="s">
        <v>489</v>
      </c>
      <c r="M85" s="222">
        <v>2025.0</v>
      </c>
      <c r="N85" s="214" t="s">
        <v>433</v>
      </c>
      <c r="O85" s="223">
        <v>1.0</v>
      </c>
      <c r="P85" s="224">
        <f t="shared" si="1"/>
        <v>0.4505454545</v>
      </c>
      <c r="Q85" s="214" t="str">
        <f t="shared" si="2"/>
        <v>Medium</v>
      </c>
    </row>
    <row r="86" ht="15.75" customHeight="1">
      <c r="A86" s="214" t="s">
        <v>556</v>
      </c>
      <c r="B86" s="216">
        <v>2750.0</v>
      </c>
      <c r="C86" s="216">
        <v>1239.0</v>
      </c>
      <c r="D86" s="217">
        <v>11.0</v>
      </c>
      <c r="E86" s="219" t="s">
        <v>157</v>
      </c>
      <c r="F86" s="219" t="s">
        <v>358</v>
      </c>
      <c r="G86" s="214" t="s">
        <v>351</v>
      </c>
      <c r="H86" s="221">
        <v>45559.0</v>
      </c>
      <c r="I86" s="219" t="s">
        <v>558</v>
      </c>
      <c r="J86" s="219" t="s">
        <v>313</v>
      </c>
      <c r="K86" s="219" t="s">
        <v>526</v>
      </c>
      <c r="L86" s="214" t="s">
        <v>484</v>
      </c>
      <c r="M86" s="222">
        <v>2024.0</v>
      </c>
      <c r="N86" s="214" t="s">
        <v>536</v>
      </c>
      <c r="O86" s="223">
        <v>3.0</v>
      </c>
      <c r="P86" s="224">
        <f t="shared" si="1"/>
        <v>0.4505454545</v>
      </c>
      <c r="Q86" s="214" t="str">
        <f t="shared" si="2"/>
        <v>Medium</v>
      </c>
    </row>
    <row r="87" ht="15.75" customHeight="1">
      <c r="A87" s="214" t="s">
        <v>556</v>
      </c>
      <c r="B87" s="216">
        <v>8639.0</v>
      </c>
      <c r="C87" s="216">
        <v>3104.0</v>
      </c>
      <c r="D87" s="217">
        <v>19.0</v>
      </c>
      <c r="E87" s="219" t="s">
        <v>242</v>
      </c>
      <c r="F87" s="219" t="s">
        <v>356</v>
      </c>
      <c r="G87" s="214" t="s">
        <v>406</v>
      </c>
      <c r="H87" s="221">
        <v>45726.0</v>
      </c>
      <c r="I87" s="219" t="s">
        <v>557</v>
      </c>
      <c r="J87" s="219" t="s">
        <v>223</v>
      </c>
      <c r="K87" s="219" t="s">
        <v>402</v>
      </c>
      <c r="L87" s="214" t="s">
        <v>489</v>
      </c>
      <c r="M87" s="222">
        <v>2025.0</v>
      </c>
      <c r="N87" s="214" t="s">
        <v>433</v>
      </c>
      <c r="O87" s="223">
        <v>1.0</v>
      </c>
      <c r="P87" s="224">
        <f t="shared" si="1"/>
        <v>0.359300845</v>
      </c>
      <c r="Q87" s="214" t="str">
        <f t="shared" si="2"/>
        <v>High</v>
      </c>
    </row>
    <row r="88" ht="15.75" customHeight="1">
      <c r="A88" s="214" t="s">
        <v>556</v>
      </c>
      <c r="B88" s="216">
        <v>8639.0</v>
      </c>
      <c r="C88" s="216">
        <v>3104.0</v>
      </c>
      <c r="D88" s="217">
        <v>19.0</v>
      </c>
      <c r="E88" s="219" t="s">
        <v>242</v>
      </c>
      <c r="F88" s="219" t="s">
        <v>356</v>
      </c>
      <c r="G88" s="214" t="s">
        <v>406</v>
      </c>
      <c r="H88" s="221">
        <v>45559.0</v>
      </c>
      <c r="I88" s="219" t="s">
        <v>558</v>
      </c>
      <c r="J88" s="219" t="s">
        <v>313</v>
      </c>
      <c r="K88" s="219" t="s">
        <v>526</v>
      </c>
      <c r="L88" s="214" t="s">
        <v>484</v>
      </c>
      <c r="M88" s="222">
        <v>2024.0</v>
      </c>
      <c r="N88" s="214" t="s">
        <v>536</v>
      </c>
      <c r="O88" s="223">
        <v>3.0</v>
      </c>
      <c r="P88" s="224">
        <f t="shared" si="1"/>
        <v>0.359300845</v>
      </c>
      <c r="Q88" s="214" t="str">
        <f t="shared" si="2"/>
        <v>High</v>
      </c>
    </row>
    <row r="89" ht="15.75" customHeight="1">
      <c r="A89" s="214" t="s">
        <v>559</v>
      </c>
      <c r="B89" s="216">
        <v>3808.0</v>
      </c>
      <c r="C89" s="216">
        <v>1192.0</v>
      </c>
      <c r="D89" s="217">
        <v>4.0</v>
      </c>
      <c r="E89" s="219" t="s">
        <v>242</v>
      </c>
      <c r="F89" s="219" t="s">
        <v>317</v>
      </c>
      <c r="G89" s="214" t="s">
        <v>392</v>
      </c>
      <c r="H89" s="221">
        <v>43934.0</v>
      </c>
      <c r="I89" s="219" t="s">
        <v>560</v>
      </c>
      <c r="J89" s="219" t="s">
        <v>223</v>
      </c>
      <c r="K89" s="219" t="s">
        <v>428</v>
      </c>
      <c r="L89" s="214" t="s">
        <v>418</v>
      </c>
      <c r="M89" s="222">
        <v>2020.0</v>
      </c>
      <c r="N89" s="214" t="s">
        <v>542</v>
      </c>
      <c r="O89" s="223">
        <v>2.0</v>
      </c>
      <c r="P89" s="224">
        <f t="shared" si="1"/>
        <v>0.3130252101</v>
      </c>
      <c r="Q89" s="214" t="str">
        <f t="shared" si="2"/>
        <v>Medium</v>
      </c>
    </row>
    <row r="90" ht="15.75" customHeight="1">
      <c r="A90" s="214" t="s">
        <v>559</v>
      </c>
      <c r="B90" s="216">
        <v>2588.0</v>
      </c>
      <c r="C90" s="216">
        <v>705.0</v>
      </c>
      <c r="D90" s="217">
        <v>16.0</v>
      </c>
      <c r="E90" s="219" t="s">
        <v>242</v>
      </c>
      <c r="F90" s="219" t="s">
        <v>356</v>
      </c>
      <c r="G90" s="214" t="s">
        <v>350</v>
      </c>
      <c r="H90" s="221">
        <v>43934.0</v>
      </c>
      <c r="I90" s="219" t="s">
        <v>560</v>
      </c>
      <c r="J90" s="219" t="s">
        <v>223</v>
      </c>
      <c r="K90" s="219" t="s">
        <v>428</v>
      </c>
      <c r="L90" s="214" t="s">
        <v>418</v>
      </c>
      <c r="M90" s="222">
        <v>2020.0</v>
      </c>
      <c r="N90" s="214" t="s">
        <v>542</v>
      </c>
      <c r="O90" s="223">
        <v>2.0</v>
      </c>
      <c r="P90" s="224">
        <f t="shared" si="1"/>
        <v>0.2724111283</v>
      </c>
      <c r="Q90" s="214" t="str">
        <f t="shared" si="2"/>
        <v>Medium</v>
      </c>
    </row>
    <row r="91" ht="15.75" customHeight="1">
      <c r="A91" s="214" t="s">
        <v>561</v>
      </c>
      <c r="B91" s="216">
        <v>1591.0</v>
      </c>
      <c r="C91" s="216">
        <v>727.0</v>
      </c>
      <c r="D91" s="217">
        <v>5.0</v>
      </c>
      <c r="E91" s="219" t="s">
        <v>157</v>
      </c>
      <c r="F91" s="219" t="s">
        <v>355</v>
      </c>
      <c r="G91" s="214" t="s">
        <v>350</v>
      </c>
      <c r="H91" s="221">
        <v>44739.0</v>
      </c>
      <c r="I91" s="219" t="s">
        <v>562</v>
      </c>
      <c r="J91" s="219" t="s">
        <v>271</v>
      </c>
      <c r="K91" s="219" t="s">
        <v>449</v>
      </c>
      <c r="L91" s="214" t="s">
        <v>458</v>
      </c>
      <c r="M91" s="222">
        <v>2022.0</v>
      </c>
      <c r="N91" s="214" t="s">
        <v>396</v>
      </c>
      <c r="O91" s="223">
        <v>2.0</v>
      </c>
      <c r="P91" s="224">
        <f t="shared" si="1"/>
        <v>0.4569453174</v>
      </c>
      <c r="Q91" s="214" t="str">
        <f t="shared" si="2"/>
        <v>Medium</v>
      </c>
    </row>
    <row r="92" ht="15.75" customHeight="1">
      <c r="A92" s="214" t="s">
        <v>561</v>
      </c>
      <c r="B92" s="216">
        <v>1591.0</v>
      </c>
      <c r="C92" s="216">
        <v>727.0</v>
      </c>
      <c r="D92" s="217">
        <v>5.0</v>
      </c>
      <c r="E92" s="219" t="s">
        <v>157</v>
      </c>
      <c r="F92" s="219" t="s">
        <v>355</v>
      </c>
      <c r="G92" s="214" t="s">
        <v>350</v>
      </c>
      <c r="H92" s="221">
        <v>44269.0</v>
      </c>
      <c r="I92" s="219" t="s">
        <v>563</v>
      </c>
      <c r="J92" s="219" t="s">
        <v>159</v>
      </c>
      <c r="K92" s="219" t="s">
        <v>552</v>
      </c>
      <c r="L92" s="214" t="s">
        <v>440</v>
      </c>
      <c r="M92" s="222">
        <v>2021.0</v>
      </c>
      <c r="N92" s="214" t="s">
        <v>433</v>
      </c>
      <c r="O92" s="223">
        <v>1.0</v>
      </c>
      <c r="P92" s="224">
        <f t="shared" si="1"/>
        <v>0.4569453174</v>
      </c>
      <c r="Q92" s="214" t="str">
        <f t="shared" si="2"/>
        <v>Medium</v>
      </c>
    </row>
    <row r="93" ht="15.75" customHeight="1">
      <c r="A93" s="214" t="s">
        <v>561</v>
      </c>
      <c r="B93" s="216">
        <v>1591.0</v>
      </c>
      <c r="C93" s="216">
        <v>727.0</v>
      </c>
      <c r="D93" s="217">
        <v>5.0</v>
      </c>
      <c r="E93" s="219" t="s">
        <v>157</v>
      </c>
      <c r="F93" s="219" t="s">
        <v>355</v>
      </c>
      <c r="G93" s="214" t="s">
        <v>350</v>
      </c>
      <c r="H93" s="221">
        <v>44615.0</v>
      </c>
      <c r="I93" s="219" t="s">
        <v>564</v>
      </c>
      <c r="J93" s="219" t="s">
        <v>313</v>
      </c>
      <c r="K93" s="219" t="s">
        <v>518</v>
      </c>
      <c r="L93" s="214" t="s">
        <v>454</v>
      </c>
      <c r="M93" s="222">
        <v>2022.0</v>
      </c>
      <c r="N93" s="214" t="s">
        <v>494</v>
      </c>
      <c r="O93" s="223">
        <v>1.0</v>
      </c>
      <c r="P93" s="224">
        <f t="shared" si="1"/>
        <v>0.4569453174</v>
      </c>
      <c r="Q93" s="214" t="str">
        <f t="shared" si="2"/>
        <v>Medium</v>
      </c>
    </row>
    <row r="94" ht="15.75" customHeight="1">
      <c r="A94" s="214" t="s">
        <v>565</v>
      </c>
      <c r="B94" s="216">
        <v>1757.0</v>
      </c>
      <c r="C94" s="216">
        <v>622.0</v>
      </c>
      <c r="D94" s="217">
        <v>10.0</v>
      </c>
      <c r="E94" s="219" t="s">
        <v>216</v>
      </c>
      <c r="F94" s="219" t="s">
        <v>359</v>
      </c>
      <c r="G94" s="214" t="s">
        <v>392</v>
      </c>
      <c r="H94" s="221">
        <v>44649.0</v>
      </c>
      <c r="I94" s="219" t="s">
        <v>566</v>
      </c>
      <c r="J94" s="219" t="s">
        <v>313</v>
      </c>
      <c r="K94" s="219" t="s">
        <v>526</v>
      </c>
      <c r="L94" s="214" t="s">
        <v>455</v>
      </c>
      <c r="M94" s="222">
        <v>2022.0</v>
      </c>
      <c r="N94" s="214" t="s">
        <v>433</v>
      </c>
      <c r="O94" s="223">
        <v>1.0</v>
      </c>
      <c r="P94" s="224">
        <f t="shared" si="1"/>
        <v>0.3540125213</v>
      </c>
      <c r="Q94" s="214" t="str">
        <f t="shared" si="2"/>
        <v>Medium</v>
      </c>
    </row>
    <row r="95" ht="15.75" customHeight="1">
      <c r="A95" s="214" t="s">
        <v>565</v>
      </c>
      <c r="B95" s="216">
        <v>1757.0</v>
      </c>
      <c r="C95" s="216">
        <v>622.0</v>
      </c>
      <c r="D95" s="217">
        <v>10.0</v>
      </c>
      <c r="E95" s="219" t="s">
        <v>216</v>
      </c>
      <c r="F95" s="219" t="s">
        <v>359</v>
      </c>
      <c r="G95" s="214" t="s">
        <v>392</v>
      </c>
      <c r="H95" s="221">
        <v>44885.0</v>
      </c>
      <c r="I95" s="219" t="s">
        <v>567</v>
      </c>
      <c r="J95" s="219" t="s">
        <v>271</v>
      </c>
      <c r="K95" s="219" t="s">
        <v>568</v>
      </c>
      <c r="L95" s="214" t="s">
        <v>424</v>
      </c>
      <c r="M95" s="222">
        <v>2022.0</v>
      </c>
      <c r="N95" s="214" t="s">
        <v>425</v>
      </c>
      <c r="O95" s="223">
        <v>4.0</v>
      </c>
      <c r="P95" s="224">
        <f t="shared" si="1"/>
        <v>0.3540125213</v>
      </c>
      <c r="Q95" s="214" t="str">
        <f t="shared" si="2"/>
        <v>Medium</v>
      </c>
    </row>
    <row r="96" ht="15.75" customHeight="1">
      <c r="A96" s="214" t="s">
        <v>569</v>
      </c>
      <c r="B96" s="216">
        <v>6940.0</v>
      </c>
      <c r="C96" s="216">
        <v>253.0</v>
      </c>
      <c r="D96" s="217">
        <v>15.0</v>
      </c>
      <c r="E96" s="219" t="s">
        <v>216</v>
      </c>
      <c r="F96" s="219" t="s">
        <v>361</v>
      </c>
      <c r="G96" s="214" t="s">
        <v>351</v>
      </c>
      <c r="H96" s="221">
        <v>44512.0</v>
      </c>
      <c r="I96" s="219" t="s">
        <v>570</v>
      </c>
      <c r="J96" s="219" t="s">
        <v>159</v>
      </c>
      <c r="K96" s="219" t="s">
        <v>409</v>
      </c>
      <c r="L96" s="214" t="s">
        <v>451</v>
      </c>
      <c r="M96" s="222">
        <v>2021.0</v>
      </c>
      <c r="N96" s="214" t="s">
        <v>425</v>
      </c>
      <c r="O96" s="223">
        <v>4.0</v>
      </c>
      <c r="P96" s="224">
        <f t="shared" si="1"/>
        <v>0.03645533141</v>
      </c>
      <c r="Q96" s="214" t="str">
        <f t="shared" si="2"/>
        <v>High</v>
      </c>
    </row>
    <row r="97" ht="15.75" customHeight="1">
      <c r="A97" s="214" t="s">
        <v>569</v>
      </c>
      <c r="B97" s="216">
        <v>5105.0</v>
      </c>
      <c r="C97" s="216">
        <v>465.0</v>
      </c>
      <c r="D97" s="217">
        <v>5.0</v>
      </c>
      <c r="E97" s="219" t="s">
        <v>157</v>
      </c>
      <c r="F97" s="219" t="s">
        <v>354</v>
      </c>
      <c r="G97" s="214" t="s">
        <v>392</v>
      </c>
      <c r="H97" s="221">
        <v>44512.0</v>
      </c>
      <c r="I97" s="219" t="s">
        <v>570</v>
      </c>
      <c r="J97" s="219" t="s">
        <v>159</v>
      </c>
      <c r="K97" s="219" t="s">
        <v>409</v>
      </c>
      <c r="L97" s="214" t="s">
        <v>451</v>
      </c>
      <c r="M97" s="222">
        <v>2021.0</v>
      </c>
      <c r="N97" s="214" t="s">
        <v>425</v>
      </c>
      <c r="O97" s="223">
        <v>4.0</v>
      </c>
      <c r="P97" s="224">
        <f t="shared" si="1"/>
        <v>0.09108716944</v>
      </c>
      <c r="Q97" s="214" t="str">
        <f t="shared" si="2"/>
        <v>High</v>
      </c>
    </row>
    <row r="98" ht="15.75" customHeight="1">
      <c r="A98" s="214" t="s">
        <v>571</v>
      </c>
      <c r="B98" s="216">
        <v>5578.0</v>
      </c>
      <c r="C98" s="216">
        <v>277.0</v>
      </c>
      <c r="D98" s="217">
        <v>16.0</v>
      </c>
      <c r="E98" s="219" t="s">
        <v>216</v>
      </c>
      <c r="F98" s="219" t="s">
        <v>344</v>
      </c>
      <c r="G98" s="214" t="s">
        <v>405</v>
      </c>
      <c r="H98" s="221">
        <v>44425.0</v>
      </c>
      <c r="I98" s="219" t="s">
        <v>572</v>
      </c>
      <c r="J98" s="219" t="s">
        <v>159</v>
      </c>
      <c r="K98" s="219" t="s">
        <v>394</v>
      </c>
      <c r="L98" s="214" t="s">
        <v>445</v>
      </c>
      <c r="M98" s="222">
        <v>2021.0</v>
      </c>
      <c r="N98" s="214" t="s">
        <v>523</v>
      </c>
      <c r="O98" s="223">
        <v>3.0</v>
      </c>
      <c r="P98" s="224">
        <f t="shared" si="1"/>
        <v>0.04965937612</v>
      </c>
      <c r="Q98" s="214" t="str">
        <f t="shared" si="2"/>
        <v>High</v>
      </c>
    </row>
    <row r="99" ht="15.75" customHeight="1">
      <c r="A99" s="214" t="s">
        <v>571</v>
      </c>
      <c r="B99" s="216">
        <v>5578.0</v>
      </c>
      <c r="C99" s="216">
        <v>277.0</v>
      </c>
      <c r="D99" s="217">
        <v>16.0</v>
      </c>
      <c r="E99" s="219" t="s">
        <v>216</v>
      </c>
      <c r="F99" s="219" t="s">
        <v>344</v>
      </c>
      <c r="G99" s="214" t="s">
        <v>405</v>
      </c>
      <c r="H99" s="221">
        <v>44697.0</v>
      </c>
      <c r="I99" s="219" t="s">
        <v>573</v>
      </c>
      <c r="J99" s="219" t="s">
        <v>313</v>
      </c>
      <c r="K99" s="219" t="s">
        <v>512</v>
      </c>
      <c r="L99" s="214" t="s">
        <v>457</v>
      </c>
      <c r="M99" s="222">
        <v>2022.0</v>
      </c>
      <c r="N99" s="214" t="s">
        <v>411</v>
      </c>
      <c r="O99" s="223">
        <v>2.0</v>
      </c>
      <c r="P99" s="224">
        <f t="shared" si="1"/>
        <v>0.04965937612</v>
      </c>
      <c r="Q99" s="214" t="str">
        <f t="shared" si="2"/>
        <v>High</v>
      </c>
    </row>
    <row r="100" ht="15.75" customHeight="1">
      <c r="A100" s="214" t="s">
        <v>574</v>
      </c>
      <c r="B100" s="216">
        <v>5224.0</v>
      </c>
      <c r="C100" s="216">
        <v>1958.0</v>
      </c>
      <c r="D100" s="217">
        <v>16.0</v>
      </c>
      <c r="E100" s="219" t="s">
        <v>216</v>
      </c>
      <c r="F100" s="219" t="s">
        <v>359</v>
      </c>
      <c r="G100" s="214" t="s">
        <v>350</v>
      </c>
      <c r="H100" s="221">
        <v>45123.0</v>
      </c>
      <c r="I100" s="219" t="s">
        <v>575</v>
      </c>
      <c r="J100" s="219" t="s">
        <v>241</v>
      </c>
      <c r="K100" s="219" t="s">
        <v>541</v>
      </c>
      <c r="L100" s="214" t="s">
        <v>471</v>
      </c>
      <c r="M100" s="222">
        <v>2023.0</v>
      </c>
      <c r="N100" s="214" t="s">
        <v>404</v>
      </c>
      <c r="O100" s="223">
        <v>3.0</v>
      </c>
      <c r="P100" s="224">
        <f t="shared" si="1"/>
        <v>0.3748085758</v>
      </c>
      <c r="Q100" s="214" t="str">
        <f t="shared" si="2"/>
        <v>High</v>
      </c>
    </row>
    <row r="101" ht="15.75" customHeight="1">
      <c r="A101" s="214" t="s">
        <v>574</v>
      </c>
      <c r="B101" s="216">
        <v>5002.0</v>
      </c>
      <c r="C101" s="216">
        <v>1801.0</v>
      </c>
      <c r="D101" s="217">
        <v>11.0</v>
      </c>
      <c r="E101" s="219" t="s">
        <v>242</v>
      </c>
      <c r="F101" s="219" t="s">
        <v>317</v>
      </c>
      <c r="G101" s="214" t="s">
        <v>350</v>
      </c>
      <c r="H101" s="221">
        <v>45123.0</v>
      </c>
      <c r="I101" s="219" t="s">
        <v>575</v>
      </c>
      <c r="J101" s="219" t="s">
        <v>241</v>
      </c>
      <c r="K101" s="219" t="s">
        <v>541</v>
      </c>
      <c r="L101" s="214" t="s">
        <v>471</v>
      </c>
      <c r="M101" s="222">
        <v>2023.0</v>
      </c>
      <c r="N101" s="214" t="s">
        <v>404</v>
      </c>
      <c r="O101" s="223">
        <v>3.0</v>
      </c>
      <c r="P101" s="224">
        <f t="shared" si="1"/>
        <v>0.3600559776</v>
      </c>
      <c r="Q101" s="214" t="str">
        <f t="shared" si="2"/>
        <v>High</v>
      </c>
    </row>
    <row r="102" ht="15.75" customHeight="1">
      <c r="A102" s="214" t="s">
        <v>574</v>
      </c>
      <c r="B102" s="216">
        <v>7380.0</v>
      </c>
      <c r="C102" s="216">
        <v>1673.0</v>
      </c>
      <c r="D102" s="217">
        <v>18.0</v>
      </c>
      <c r="E102" s="219" t="s">
        <v>242</v>
      </c>
      <c r="F102" s="219" t="s">
        <v>317</v>
      </c>
      <c r="G102" s="214" t="s">
        <v>405</v>
      </c>
      <c r="H102" s="221">
        <v>45123.0</v>
      </c>
      <c r="I102" s="219" t="s">
        <v>575</v>
      </c>
      <c r="J102" s="219" t="s">
        <v>241</v>
      </c>
      <c r="K102" s="219" t="s">
        <v>541</v>
      </c>
      <c r="L102" s="214" t="s">
        <v>471</v>
      </c>
      <c r="M102" s="222">
        <v>2023.0</v>
      </c>
      <c r="N102" s="214" t="s">
        <v>404</v>
      </c>
      <c r="O102" s="223">
        <v>3.0</v>
      </c>
      <c r="P102" s="224">
        <f t="shared" si="1"/>
        <v>0.2266937669</v>
      </c>
      <c r="Q102" s="214" t="str">
        <f t="shared" si="2"/>
        <v>High</v>
      </c>
    </row>
    <row r="103" ht="15.75" customHeight="1">
      <c r="A103" s="214" t="s">
        <v>576</v>
      </c>
      <c r="B103" s="216">
        <v>7595.0</v>
      </c>
      <c r="C103" s="216">
        <v>2873.0</v>
      </c>
      <c r="D103" s="217">
        <v>4.0</v>
      </c>
      <c r="E103" s="219" t="s">
        <v>216</v>
      </c>
      <c r="F103" s="219" t="s">
        <v>359</v>
      </c>
      <c r="G103" s="214" t="s">
        <v>351</v>
      </c>
      <c r="H103" s="221">
        <v>44061.0</v>
      </c>
      <c r="I103" s="219" t="s">
        <v>577</v>
      </c>
      <c r="J103" s="219" t="s">
        <v>117</v>
      </c>
      <c r="K103" s="219" t="s">
        <v>423</v>
      </c>
      <c r="L103" s="214" t="s">
        <v>431</v>
      </c>
      <c r="M103" s="222">
        <v>2020.0</v>
      </c>
      <c r="N103" s="214" t="s">
        <v>523</v>
      </c>
      <c r="O103" s="223">
        <v>3.0</v>
      </c>
      <c r="P103" s="224">
        <f t="shared" si="1"/>
        <v>0.378275181</v>
      </c>
      <c r="Q103" s="214" t="str">
        <f t="shared" si="2"/>
        <v>High</v>
      </c>
    </row>
    <row r="104" ht="15.75" customHeight="1">
      <c r="A104" s="214" t="s">
        <v>576</v>
      </c>
      <c r="B104" s="216">
        <v>7595.0</v>
      </c>
      <c r="C104" s="216">
        <v>2873.0</v>
      </c>
      <c r="D104" s="217">
        <v>4.0</v>
      </c>
      <c r="E104" s="219" t="s">
        <v>216</v>
      </c>
      <c r="F104" s="219" t="s">
        <v>359</v>
      </c>
      <c r="G104" s="214" t="s">
        <v>351</v>
      </c>
      <c r="H104" s="221">
        <v>44670.0</v>
      </c>
      <c r="I104" s="219" t="s">
        <v>578</v>
      </c>
      <c r="J104" s="219" t="s">
        <v>223</v>
      </c>
      <c r="K104" s="219" t="s">
        <v>473</v>
      </c>
      <c r="L104" s="214" t="s">
        <v>456</v>
      </c>
      <c r="M104" s="222">
        <v>2022.0</v>
      </c>
      <c r="N104" s="214" t="s">
        <v>542</v>
      </c>
      <c r="O104" s="223">
        <v>2.0</v>
      </c>
      <c r="P104" s="224">
        <f t="shared" si="1"/>
        <v>0.378275181</v>
      </c>
      <c r="Q104" s="214" t="str">
        <f t="shared" si="2"/>
        <v>High</v>
      </c>
    </row>
    <row r="105" ht="15.75" customHeight="1">
      <c r="A105" s="214" t="s">
        <v>579</v>
      </c>
      <c r="B105" s="216">
        <v>1954.0</v>
      </c>
      <c r="C105" s="216">
        <v>294.0</v>
      </c>
      <c r="D105" s="217">
        <v>7.0</v>
      </c>
      <c r="E105" s="219" t="s">
        <v>216</v>
      </c>
      <c r="F105" s="219" t="s">
        <v>347</v>
      </c>
      <c r="G105" s="214" t="s">
        <v>351</v>
      </c>
      <c r="H105" s="221">
        <v>44918.0</v>
      </c>
      <c r="I105" s="219" t="s">
        <v>580</v>
      </c>
      <c r="J105" s="219" t="s">
        <v>241</v>
      </c>
      <c r="K105" s="219" t="s">
        <v>504</v>
      </c>
      <c r="L105" s="214" t="s">
        <v>464</v>
      </c>
      <c r="M105" s="222">
        <v>2022.0</v>
      </c>
      <c r="N105" s="214" t="s">
        <v>400</v>
      </c>
      <c r="O105" s="223">
        <v>4.0</v>
      </c>
      <c r="P105" s="224">
        <f t="shared" si="1"/>
        <v>0.1504605937</v>
      </c>
      <c r="Q105" s="214" t="str">
        <f t="shared" si="2"/>
        <v>Medium</v>
      </c>
    </row>
    <row r="106" ht="15.75" customHeight="1">
      <c r="A106" s="214" t="s">
        <v>581</v>
      </c>
      <c r="B106" s="216">
        <v>523.0</v>
      </c>
      <c r="C106" s="216">
        <v>95.0</v>
      </c>
      <c r="D106" s="217">
        <v>20.0</v>
      </c>
      <c r="E106" s="219" t="s">
        <v>157</v>
      </c>
      <c r="F106" s="219" t="s">
        <v>354</v>
      </c>
      <c r="G106" s="214" t="s">
        <v>406</v>
      </c>
      <c r="H106" s="221">
        <v>45633.0</v>
      </c>
      <c r="I106" s="219" t="s">
        <v>582</v>
      </c>
      <c r="J106" s="219" t="s">
        <v>241</v>
      </c>
      <c r="K106" s="219" t="s">
        <v>493</v>
      </c>
      <c r="L106" s="214" t="s">
        <v>399</v>
      </c>
      <c r="M106" s="222">
        <v>2024.0</v>
      </c>
      <c r="N106" s="214" t="s">
        <v>400</v>
      </c>
      <c r="O106" s="223">
        <v>4.0</v>
      </c>
      <c r="P106" s="224">
        <f t="shared" si="1"/>
        <v>0.1816443595</v>
      </c>
      <c r="Q106" s="214" t="str">
        <f t="shared" si="2"/>
        <v>Medium</v>
      </c>
    </row>
    <row r="107" ht="15.75" customHeight="1">
      <c r="A107" s="214" t="s">
        <v>583</v>
      </c>
      <c r="B107" s="216">
        <v>5704.0</v>
      </c>
      <c r="C107" s="216">
        <v>714.0</v>
      </c>
      <c r="D107" s="217">
        <v>13.0</v>
      </c>
      <c r="E107" s="219" t="s">
        <v>157</v>
      </c>
      <c r="F107" s="219" t="s">
        <v>360</v>
      </c>
      <c r="G107" s="214" t="s">
        <v>406</v>
      </c>
      <c r="H107" s="221">
        <v>44595.0</v>
      </c>
      <c r="I107" s="219" t="s">
        <v>584</v>
      </c>
      <c r="J107" s="219" t="s">
        <v>241</v>
      </c>
      <c r="K107" s="219" t="s">
        <v>504</v>
      </c>
      <c r="L107" s="214" t="s">
        <v>454</v>
      </c>
      <c r="M107" s="222">
        <v>2022.0</v>
      </c>
      <c r="N107" s="214" t="s">
        <v>494</v>
      </c>
      <c r="O107" s="223">
        <v>1.0</v>
      </c>
      <c r="P107" s="224">
        <f t="shared" si="1"/>
        <v>0.1251753156</v>
      </c>
      <c r="Q107" s="214" t="str">
        <f t="shared" si="2"/>
        <v>High</v>
      </c>
    </row>
    <row r="108" ht="15.75" customHeight="1">
      <c r="A108" s="214" t="s">
        <v>583</v>
      </c>
      <c r="B108" s="216">
        <v>5704.0</v>
      </c>
      <c r="C108" s="216">
        <v>714.0</v>
      </c>
      <c r="D108" s="217">
        <v>13.0</v>
      </c>
      <c r="E108" s="219" t="s">
        <v>157</v>
      </c>
      <c r="F108" s="219" t="s">
        <v>360</v>
      </c>
      <c r="G108" s="214" t="s">
        <v>406</v>
      </c>
      <c r="H108" s="221">
        <v>44542.0</v>
      </c>
      <c r="I108" s="219" t="s">
        <v>585</v>
      </c>
      <c r="J108" s="219" t="s">
        <v>117</v>
      </c>
      <c r="K108" s="219" t="s">
        <v>496</v>
      </c>
      <c r="L108" s="214" t="s">
        <v>452</v>
      </c>
      <c r="M108" s="222">
        <v>2021.0</v>
      </c>
      <c r="N108" s="214" t="s">
        <v>400</v>
      </c>
      <c r="O108" s="223">
        <v>4.0</v>
      </c>
      <c r="P108" s="224">
        <f t="shared" si="1"/>
        <v>0.1251753156</v>
      </c>
      <c r="Q108" s="214" t="str">
        <f t="shared" si="2"/>
        <v>High</v>
      </c>
    </row>
    <row r="109" ht="15.75" customHeight="1">
      <c r="A109" s="214" t="s">
        <v>583</v>
      </c>
      <c r="B109" s="216">
        <v>8797.0</v>
      </c>
      <c r="C109" s="216">
        <v>1010.0</v>
      </c>
      <c r="D109" s="217">
        <v>8.0</v>
      </c>
      <c r="E109" s="219" t="s">
        <v>216</v>
      </c>
      <c r="F109" s="219" t="s">
        <v>344</v>
      </c>
      <c r="G109" s="214" t="s">
        <v>392</v>
      </c>
      <c r="H109" s="221">
        <v>44595.0</v>
      </c>
      <c r="I109" s="219" t="s">
        <v>584</v>
      </c>
      <c r="J109" s="219" t="s">
        <v>241</v>
      </c>
      <c r="K109" s="219" t="s">
        <v>504</v>
      </c>
      <c r="L109" s="214" t="s">
        <v>454</v>
      </c>
      <c r="M109" s="222">
        <v>2022.0</v>
      </c>
      <c r="N109" s="214" t="s">
        <v>494</v>
      </c>
      <c r="O109" s="223">
        <v>1.0</v>
      </c>
      <c r="P109" s="224">
        <f t="shared" si="1"/>
        <v>0.1148118677</v>
      </c>
      <c r="Q109" s="214" t="str">
        <f t="shared" si="2"/>
        <v>High</v>
      </c>
    </row>
    <row r="110" ht="15.75" customHeight="1">
      <c r="A110" s="214" t="s">
        <v>583</v>
      </c>
      <c r="B110" s="216">
        <v>8797.0</v>
      </c>
      <c r="C110" s="216">
        <v>1010.0</v>
      </c>
      <c r="D110" s="217">
        <v>8.0</v>
      </c>
      <c r="E110" s="219" t="s">
        <v>216</v>
      </c>
      <c r="F110" s="219" t="s">
        <v>344</v>
      </c>
      <c r="G110" s="214" t="s">
        <v>392</v>
      </c>
      <c r="H110" s="221">
        <v>44542.0</v>
      </c>
      <c r="I110" s="219" t="s">
        <v>585</v>
      </c>
      <c r="J110" s="219" t="s">
        <v>117</v>
      </c>
      <c r="K110" s="219" t="s">
        <v>496</v>
      </c>
      <c r="L110" s="214" t="s">
        <v>452</v>
      </c>
      <c r="M110" s="222">
        <v>2021.0</v>
      </c>
      <c r="N110" s="214" t="s">
        <v>400</v>
      </c>
      <c r="O110" s="223">
        <v>4.0</v>
      </c>
      <c r="P110" s="224">
        <f t="shared" si="1"/>
        <v>0.1148118677</v>
      </c>
      <c r="Q110" s="214" t="str">
        <f t="shared" si="2"/>
        <v>High</v>
      </c>
    </row>
    <row r="111" ht="15.75" customHeight="1">
      <c r="A111" s="214" t="s">
        <v>583</v>
      </c>
      <c r="B111" s="216">
        <v>9236.0</v>
      </c>
      <c r="C111" s="216">
        <v>2899.0</v>
      </c>
      <c r="D111" s="217">
        <v>5.0</v>
      </c>
      <c r="E111" s="219" t="s">
        <v>157</v>
      </c>
      <c r="F111" s="219" t="s">
        <v>360</v>
      </c>
      <c r="G111" s="214" t="s">
        <v>351</v>
      </c>
      <c r="H111" s="221">
        <v>44595.0</v>
      </c>
      <c r="I111" s="219" t="s">
        <v>584</v>
      </c>
      <c r="J111" s="219" t="s">
        <v>241</v>
      </c>
      <c r="K111" s="219" t="s">
        <v>504</v>
      </c>
      <c r="L111" s="214" t="s">
        <v>454</v>
      </c>
      <c r="M111" s="222">
        <v>2022.0</v>
      </c>
      <c r="N111" s="214" t="s">
        <v>494</v>
      </c>
      <c r="O111" s="223">
        <v>1.0</v>
      </c>
      <c r="P111" s="224">
        <f t="shared" si="1"/>
        <v>0.3138804677</v>
      </c>
      <c r="Q111" s="214" t="str">
        <f t="shared" si="2"/>
        <v>High</v>
      </c>
    </row>
    <row r="112" ht="15.75" customHeight="1">
      <c r="A112" s="214" t="s">
        <v>583</v>
      </c>
      <c r="B112" s="216">
        <v>9236.0</v>
      </c>
      <c r="C112" s="216">
        <v>2899.0</v>
      </c>
      <c r="D112" s="217">
        <v>5.0</v>
      </c>
      <c r="E112" s="219" t="s">
        <v>157</v>
      </c>
      <c r="F112" s="219" t="s">
        <v>360</v>
      </c>
      <c r="G112" s="214" t="s">
        <v>351</v>
      </c>
      <c r="H112" s="221">
        <v>44542.0</v>
      </c>
      <c r="I112" s="219" t="s">
        <v>585</v>
      </c>
      <c r="J112" s="219" t="s">
        <v>117</v>
      </c>
      <c r="K112" s="219" t="s">
        <v>496</v>
      </c>
      <c r="L112" s="214" t="s">
        <v>452</v>
      </c>
      <c r="M112" s="222">
        <v>2021.0</v>
      </c>
      <c r="N112" s="214" t="s">
        <v>400</v>
      </c>
      <c r="O112" s="223">
        <v>4.0</v>
      </c>
      <c r="P112" s="224">
        <f t="shared" si="1"/>
        <v>0.3138804677</v>
      </c>
      <c r="Q112" s="214" t="str">
        <f t="shared" si="2"/>
        <v>High</v>
      </c>
    </row>
    <row r="113" ht="15.75" customHeight="1">
      <c r="A113" s="214" t="s">
        <v>586</v>
      </c>
      <c r="B113" s="216">
        <v>9109.0</v>
      </c>
      <c r="C113" s="216">
        <v>586.0</v>
      </c>
      <c r="D113" s="217">
        <v>17.0</v>
      </c>
      <c r="E113" s="219" t="s">
        <v>216</v>
      </c>
      <c r="F113" s="219" t="s">
        <v>347</v>
      </c>
      <c r="G113" s="214" t="s">
        <v>406</v>
      </c>
      <c r="H113" s="221">
        <v>43968.0</v>
      </c>
      <c r="I113" s="219" t="s">
        <v>587</v>
      </c>
      <c r="J113" s="219" t="s">
        <v>159</v>
      </c>
      <c r="K113" s="219" t="s">
        <v>394</v>
      </c>
      <c r="L113" s="214" t="s">
        <v>419</v>
      </c>
      <c r="M113" s="222">
        <v>2020.0</v>
      </c>
      <c r="N113" s="214" t="s">
        <v>411</v>
      </c>
      <c r="O113" s="223">
        <v>2.0</v>
      </c>
      <c r="P113" s="224">
        <f t="shared" si="1"/>
        <v>0.06433197936</v>
      </c>
      <c r="Q113" s="214" t="str">
        <f t="shared" si="2"/>
        <v>High</v>
      </c>
    </row>
    <row r="114" ht="15.75" customHeight="1">
      <c r="A114" s="214" t="s">
        <v>588</v>
      </c>
      <c r="B114" s="216">
        <v>4358.0</v>
      </c>
      <c r="C114" s="216">
        <v>526.0</v>
      </c>
      <c r="D114" s="217">
        <v>19.0</v>
      </c>
      <c r="E114" s="219" t="s">
        <v>157</v>
      </c>
      <c r="F114" s="219" t="s">
        <v>358</v>
      </c>
      <c r="G114" s="214" t="s">
        <v>350</v>
      </c>
      <c r="H114" s="221">
        <v>44900.0</v>
      </c>
      <c r="I114" s="219" t="s">
        <v>589</v>
      </c>
      <c r="J114" s="219" t="s">
        <v>241</v>
      </c>
      <c r="K114" s="219" t="s">
        <v>493</v>
      </c>
      <c r="L114" s="214" t="s">
        <v>464</v>
      </c>
      <c r="M114" s="222">
        <v>2022.0</v>
      </c>
      <c r="N114" s="214" t="s">
        <v>400</v>
      </c>
      <c r="O114" s="223">
        <v>4.0</v>
      </c>
      <c r="P114" s="224">
        <f t="shared" si="1"/>
        <v>0.1206975677</v>
      </c>
      <c r="Q114" s="214" t="str">
        <f t="shared" si="2"/>
        <v>Medium</v>
      </c>
    </row>
    <row r="115" ht="15.75" customHeight="1">
      <c r="A115" s="214" t="s">
        <v>588</v>
      </c>
      <c r="B115" s="216">
        <v>4358.0</v>
      </c>
      <c r="C115" s="216">
        <v>526.0</v>
      </c>
      <c r="D115" s="217">
        <v>19.0</v>
      </c>
      <c r="E115" s="219" t="s">
        <v>157</v>
      </c>
      <c r="F115" s="219" t="s">
        <v>358</v>
      </c>
      <c r="G115" s="214" t="s">
        <v>350</v>
      </c>
      <c r="H115" s="221">
        <v>45552.0</v>
      </c>
      <c r="I115" s="219" t="s">
        <v>590</v>
      </c>
      <c r="J115" s="219" t="s">
        <v>117</v>
      </c>
      <c r="K115" s="219" t="s">
        <v>508</v>
      </c>
      <c r="L115" s="214" t="s">
        <v>484</v>
      </c>
      <c r="M115" s="222">
        <v>2024.0</v>
      </c>
      <c r="N115" s="214" t="s">
        <v>536</v>
      </c>
      <c r="O115" s="223">
        <v>3.0</v>
      </c>
      <c r="P115" s="224">
        <f t="shared" si="1"/>
        <v>0.1206975677</v>
      </c>
      <c r="Q115" s="214" t="str">
        <f t="shared" si="2"/>
        <v>Medium</v>
      </c>
    </row>
    <row r="116" ht="15.75" customHeight="1">
      <c r="A116" s="214" t="s">
        <v>588</v>
      </c>
      <c r="B116" s="216">
        <v>6459.0</v>
      </c>
      <c r="C116" s="216">
        <v>825.0</v>
      </c>
      <c r="D116" s="217">
        <v>8.0</v>
      </c>
      <c r="E116" s="219" t="s">
        <v>157</v>
      </c>
      <c r="F116" s="219" t="s">
        <v>358</v>
      </c>
      <c r="G116" s="214" t="s">
        <v>350</v>
      </c>
      <c r="H116" s="221">
        <v>44900.0</v>
      </c>
      <c r="I116" s="219" t="s">
        <v>589</v>
      </c>
      <c r="J116" s="219" t="s">
        <v>241</v>
      </c>
      <c r="K116" s="219" t="s">
        <v>493</v>
      </c>
      <c r="L116" s="214" t="s">
        <v>464</v>
      </c>
      <c r="M116" s="222">
        <v>2022.0</v>
      </c>
      <c r="N116" s="214" t="s">
        <v>400</v>
      </c>
      <c r="O116" s="223">
        <v>4.0</v>
      </c>
      <c r="P116" s="224">
        <f t="shared" si="1"/>
        <v>0.1277287506</v>
      </c>
      <c r="Q116" s="214" t="str">
        <f t="shared" si="2"/>
        <v>High</v>
      </c>
    </row>
    <row r="117" ht="15.75" customHeight="1">
      <c r="A117" s="214" t="s">
        <v>588</v>
      </c>
      <c r="B117" s="216">
        <v>6459.0</v>
      </c>
      <c r="C117" s="216">
        <v>825.0</v>
      </c>
      <c r="D117" s="217">
        <v>8.0</v>
      </c>
      <c r="E117" s="219" t="s">
        <v>157</v>
      </c>
      <c r="F117" s="219" t="s">
        <v>358</v>
      </c>
      <c r="G117" s="214" t="s">
        <v>350</v>
      </c>
      <c r="H117" s="221">
        <v>45552.0</v>
      </c>
      <c r="I117" s="219" t="s">
        <v>590</v>
      </c>
      <c r="J117" s="219" t="s">
        <v>117</v>
      </c>
      <c r="K117" s="219" t="s">
        <v>508</v>
      </c>
      <c r="L117" s="214" t="s">
        <v>484</v>
      </c>
      <c r="M117" s="222">
        <v>2024.0</v>
      </c>
      <c r="N117" s="214" t="s">
        <v>536</v>
      </c>
      <c r="O117" s="223">
        <v>3.0</v>
      </c>
      <c r="P117" s="224">
        <f t="shared" si="1"/>
        <v>0.1277287506</v>
      </c>
      <c r="Q117" s="214" t="str">
        <f t="shared" si="2"/>
        <v>High</v>
      </c>
    </row>
    <row r="118" ht="15.75" customHeight="1">
      <c r="A118" s="214" t="s">
        <v>591</v>
      </c>
      <c r="B118" s="216">
        <v>2478.0</v>
      </c>
      <c r="C118" s="216">
        <v>92.0</v>
      </c>
      <c r="D118" s="217">
        <v>12.0</v>
      </c>
      <c r="E118" s="219" t="s">
        <v>216</v>
      </c>
      <c r="F118" s="219" t="s">
        <v>361</v>
      </c>
      <c r="G118" s="214" t="s">
        <v>405</v>
      </c>
      <c r="H118" s="221">
        <v>45054.0</v>
      </c>
      <c r="I118" s="219" t="s">
        <v>592</v>
      </c>
      <c r="J118" s="219" t="s">
        <v>117</v>
      </c>
      <c r="K118" s="219" t="s">
        <v>508</v>
      </c>
      <c r="L118" s="214" t="s">
        <v>469</v>
      </c>
      <c r="M118" s="222">
        <v>2023.0</v>
      </c>
      <c r="N118" s="214" t="s">
        <v>411</v>
      </c>
      <c r="O118" s="223">
        <v>2.0</v>
      </c>
      <c r="P118" s="224">
        <f t="shared" si="1"/>
        <v>0.03712671509</v>
      </c>
      <c r="Q118" s="214" t="str">
        <f t="shared" si="2"/>
        <v>Medium</v>
      </c>
    </row>
    <row r="119" ht="15.75" customHeight="1">
      <c r="A119" s="214" t="s">
        <v>591</v>
      </c>
      <c r="B119" s="216">
        <v>2478.0</v>
      </c>
      <c r="C119" s="216">
        <v>92.0</v>
      </c>
      <c r="D119" s="217">
        <v>12.0</v>
      </c>
      <c r="E119" s="219" t="s">
        <v>216</v>
      </c>
      <c r="F119" s="219" t="s">
        <v>361</v>
      </c>
      <c r="G119" s="214" t="s">
        <v>405</v>
      </c>
      <c r="H119" s="221">
        <v>44258.0</v>
      </c>
      <c r="I119" s="219" t="s">
        <v>593</v>
      </c>
      <c r="J119" s="219" t="s">
        <v>223</v>
      </c>
      <c r="K119" s="219" t="s">
        <v>428</v>
      </c>
      <c r="L119" s="214" t="s">
        <v>440</v>
      </c>
      <c r="M119" s="222">
        <v>2021.0</v>
      </c>
      <c r="N119" s="214" t="s">
        <v>433</v>
      </c>
      <c r="O119" s="223">
        <v>1.0</v>
      </c>
      <c r="P119" s="224">
        <f t="shared" si="1"/>
        <v>0.03712671509</v>
      </c>
      <c r="Q119" s="214" t="str">
        <f t="shared" si="2"/>
        <v>Medium</v>
      </c>
    </row>
    <row r="120" ht="15.75" customHeight="1">
      <c r="A120" s="214" t="s">
        <v>591</v>
      </c>
      <c r="B120" s="216">
        <v>2478.0</v>
      </c>
      <c r="C120" s="216">
        <v>92.0</v>
      </c>
      <c r="D120" s="217">
        <v>12.0</v>
      </c>
      <c r="E120" s="219" t="s">
        <v>216</v>
      </c>
      <c r="F120" s="219" t="s">
        <v>361</v>
      </c>
      <c r="G120" s="214" t="s">
        <v>405</v>
      </c>
      <c r="H120" s="221">
        <v>44273.0</v>
      </c>
      <c r="I120" s="219" t="s">
        <v>594</v>
      </c>
      <c r="J120" s="219" t="s">
        <v>117</v>
      </c>
      <c r="K120" s="219" t="s">
        <v>508</v>
      </c>
      <c r="L120" s="214" t="s">
        <v>440</v>
      </c>
      <c r="M120" s="222">
        <v>2021.0</v>
      </c>
      <c r="N120" s="214" t="s">
        <v>433</v>
      </c>
      <c r="O120" s="223">
        <v>1.0</v>
      </c>
      <c r="P120" s="224">
        <f t="shared" si="1"/>
        <v>0.03712671509</v>
      </c>
      <c r="Q120" s="214" t="str">
        <f t="shared" si="2"/>
        <v>Medium</v>
      </c>
    </row>
    <row r="121" ht="15.75" customHeight="1">
      <c r="A121" s="214" t="s">
        <v>591</v>
      </c>
      <c r="B121" s="216">
        <v>2478.0</v>
      </c>
      <c r="C121" s="216">
        <v>92.0</v>
      </c>
      <c r="D121" s="217">
        <v>12.0</v>
      </c>
      <c r="E121" s="219" t="s">
        <v>216</v>
      </c>
      <c r="F121" s="219" t="s">
        <v>361</v>
      </c>
      <c r="G121" s="214" t="s">
        <v>405</v>
      </c>
      <c r="H121" s="221">
        <v>45040.0</v>
      </c>
      <c r="I121" s="219" t="s">
        <v>595</v>
      </c>
      <c r="J121" s="219" t="s">
        <v>313</v>
      </c>
      <c r="K121" s="219" t="s">
        <v>526</v>
      </c>
      <c r="L121" s="214" t="s">
        <v>468</v>
      </c>
      <c r="M121" s="222">
        <v>2023.0</v>
      </c>
      <c r="N121" s="214" t="s">
        <v>542</v>
      </c>
      <c r="O121" s="223">
        <v>2.0</v>
      </c>
      <c r="P121" s="224">
        <f t="shared" si="1"/>
        <v>0.03712671509</v>
      </c>
      <c r="Q121" s="214" t="str">
        <f t="shared" si="2"/>
        <v>Medium</v>
      </c>
    </row>
    <row r="122" ht="15.75" customHeight="1">
      <c r="A122" s="214" t="s">
        <v>596</v>
      </c>
      <c r="B122" s="216">
        <v>9992.0</v>
      </c>
      <c r="C122" s="216">
        <v>3696.0</v>
      </c>
      <c r="D122" s="217">
        <v>20.0</v>
      </c>
      <c r="E122" s="219" t="s">
        <v>242</v>
      </c>
      <c r="F122" s="219" t="s">
        <v>356</v>
      </c>
      <c r="G122" s="214" t="s">
        <v>351</v>
      </c>
      <c r="H122" s="221">
        <v>44478.0</v>
      </c>
      <c r="I122" s="219" t="s">
        <v>597</v>
      </c>
      <c r="J122" s="219" t="s">
        <v>223</v>
      </c>
      <c r="K122" s="219" t="s">
        <v>473</v>
      </c>
      <c r="L122" s="214" t="s">
        <v>413</v>
      </c>
      <c r="M122" s="222">
        <v>2021.0</v>
      </c>
      <c r="N122" s="214" t="s">
        <v>414</v>
      </c>
      <c r="O122" s="223">
        <v>4.0</v>
      </c>
      <c r="P122" s="224">
        <f t="shared" si="1"/>
        <v>0.3698959167</v>
      </c>
      <c r="Q122" s="214" t="str">
        <f t="shared" si="2"/>
        <v>High</v>
      </c>
    </row>
    <row r="123" ht="15.75" customHeight="1">
      <c r="A123" s="214" t="s">
        <v>596</v>
      </c>
      <c r="B123" s="216">
        <v>9992.0</v>
      </c>
      <c r="C123" s="216">
        <v>3696.0</v>
      </c>
      <c r="D123" s="217">
        <v>20.0</v>
      </c>
      <c r="E123" s="219" t="s">
        <v>242</v>
      </c>
      <c r="F123" s="219" t="s">
        <v>356</v>
      </c>
      <c r="G123" s="214" t="s">
        <v>351</v>
      </c>
      <c r="H123" s="221">
        <v>44666.0</v>
      </c>
      <c r="I123" s="219" t="s">
        <v>598</v>
      </c>
      <c r="J123" s="219" t="s">
        <v>241</v>
      </c>
      <c r="K123" s="219" t="s">
        <v>504</v>
      </c>
      <c r="L123" s="214" t="s">
        <v>456</v>
      </c>
      <c r="M123" s="222">
        <v>2022.0</v>
      </c>
      <c r="N123" s="214" t="s">
        <v>542</v>
      </c>
      <c r="O123" s="223">
        <v>2.0</v>
      </c>
      <c r="P123" s="224">
        <f t="shared" si="1"/>
        <v>0.3698959167</v>
      </c>
      <c r="Q123" s="214" t="str">
        <f t="shared" si="2"/>
        <v>High</v>
      </c>
    </row>
    <row r="124" ht="15.75" customHeight="1">
      <c r="A124" s="214" t="s">
        <v>596</v>
      </c>
      <c r="B124" s="216">
        <v>9992.0</v>
      </c>
      <c r="C124" s="216">
        <v>3696.0</v>
      </c>
      <c r="D124" s="217">
        <v>20.0</v>
      </c>
      <c r="E124" s="219" t="s">
        <v>242</v>
      </c>
      <c r="F124" s="219" t="s">
        <v>356</v>
      </c>
      <c r="G124" s="214" t="s">
        <v>351</v>
      </c>
      <c r="H124" s="221">
        <v>44802.0</v>
      </c>
      <c r="I124" s="219" t="s">
        <v>599</v>
      </c>
      <c r="J124" s="219" t="s">
        <v>223</v>
      </c>
      <c r="K124" s="219" t="s">
        <v>473</v>
      </c>
      <c r="L124" s="214" t="s">
        <v>461</v>
      </c>
      <c r="M124" s="222">
        <v>2022.0</v>
      </c>
      <c r="N124" s="214" t="s">
        <v>523</v>
      </c>
      <c r="O124" s="223">
        <v>3.0</v>
      </c>
      <c r="P124" s="224">
        <f t="shared" si="1"/>
        <v>0.3698959167</v>
      </c>
      <c r="Q124" s="214" t="str">
        <f t="shared" si="2"/>
        <v>High</v>
      </c>
    </row>
    <row r="125" ht="15.75" customHeight="1">
      <c r="A125" s="214" t="s">
        <v>596</v>
      </c>
      <c r="B125" s="216">
        <v>9619.0</v>
      </c>
      <c r="C125" s="216">
        <v>3420.0</v>
      </c>
      <c r="D125" s="217">
        <v>7.0</v>
      </c>
      <c r="E125" s="219" t="s">
        <v>242</v>
      </c>
      <c r="F125" s="219" t="s">
        <v>362</v>
      </c>
      <c r="G125" s="214" t="s">
        <v>392</v>
      </c>
      <c r="H125" s="221">
        <v>44478.0</v>
      </c>
      <c r="I125" s="219" t="s">
        <v>597</v>
      </c>
      <c r="J125" s="219" t="s">
        <v>223</v>
      </c>
      <c r="K125" s="219" t="s">
        <v>473</v>
      </c>
      <c r="L125" s="214" t="s">
        <v>413</v>
      </c>
      <c r="M125" s="222">
        <v>2021.0</v>
      </c>
      <c r="N125" s="214" t="s">
        <v>414</v>
      </c>
      <c r="O125" s="223">
        <v>4.0</v>
      </c>
      <c r="P125" s="224">
        <f t="shared" si="1"/>
        <v>0.3555463146</v>
      </c>
      <c r="Q125" s="214" t="str">
        <f t="shared" si="2"/>
        <v>High</v>
      </c>
    </row>
    <row r="126" ht="15.75" customHeight="1">
      <c r="A126" s="214" t="s">
        <v>596</v>
      </c>
      <c r="B126" s="216">
        <v>9619.0</v>
      </c>
      <c r="C126" s="216">
        <v>3420.0</v>
      </c>
      <c r="D126" s="217">
        <v>7.0</v>
      </c>
      <c r="E126" s="219" t="s">
        <v>242</v>
      </c>
      <c r="F126" s="219" t="s">
        <v>362</v>
      </c>
      <c r="G126" s="214" t="s">
        <v>392</v>
      </c>
      <c r="H126" s="221">
        <v>44666.0</v>
      </c>
      <c r="I126" s="219" t="s">
        <v>598</v>
      </c>
      <c r="J126" s="219" t="s">
        <v>241</v>
      </c>
      <c r="K126" s="219" t="s">
        <v>504</v>
      </c>
      <c r="L126" s="214" t="s">
        <v>456</v>
      </c>
      <c r="M126" s="222">
        <v>2022.0</v>
      </c>
      <c r="N126" s="214" t="s">
        <v>542</v>
      </c>
      <c r="O126" s="223">
        <v>2.0</v>
      </c>
      <c r="P126" s="224">
        <f t="shared" si="1"/>
        <v>0.3555463146</v>
      </c>
      <c r="Q126" s="214" t="str">
        <f t="shared" si="2"/>
        <v>High</v>
      </c>
    </row>
    <row r="127" ht="15.75" customHeight="1">
      <c r="A127" s="214" t="s">
        <v>596</v>
      </c>
      <c r="B127" s="216">
        <v>9619.0</v>
      </c>
      <c r="C127" s="216">
        <v>3420.0</v>
      </c>
      <c r="D127" s="217">
        <v>7.0</v>
      </c>
      <c r="E127" s="219" t="s">
        <v>242</v>
      </c>
      <c r="F127" s="219" t="s">
        <v>362</v>
      </c>
      <c r="G127" s="214" t="s">
        <v>392</v>
      </c>
      <c r="H127" s="221">
        <v>44802.0</v>
      </c>
      <c r="I127" s="219" t="s">
        <v>599</v>
      </c>
      <c r="J127" s="219" t="s">
        <v>223</v>
      </c>
      <c r="K127" s="219" t="s">
        <v>473</v>
      </c>
      <c r="L127" s="214" t="s">
        <v>461</v>
      </c>
      <c r="M127" s="222">
        <v>2022.0</v>
      </c>
      <c r="N127" s="214" t="s">
        <v>523</v>
      </c>
      <c r="O127" s="223">
        <v>3.0</v>
      </c>
      <c r="P127" s="224">
        <f t="shared" si="1"/>
        <v>0.3555463146</v>
      </c>
      <c r="Q127" s="214" t="str">
        <f t="shared" si="2"/>
        <v>High</v>
      </c>
    </row>
    <row r="128" ht="15.75" customHeight="1">
      <c r="A128" s="214" t="s">
        <v>600</v>
      </c>
      <c r="B128" s="216">
        <v>9538.0</v>
      </c>
      <c r="C128" s="216">
        <v>3158.0</v>
      </c>
      <c r="D128" s="217">
        <v>20.0</v>
      </c>
      <c r="E128" s="219" t="s">
        <v>157</v>
      </c>
      <c r="F128" s="219" t="s">
        <v>354</v>
      </c>
      <c r="G128" s="214" t="s">
        <v>350</v>
      </c>
      <c r="H128" s="221">
        <v>45539.0</v>
      </c>
      <c r="I128" s="219" t="s">
        <v>601</v>
      </c>
      <c r="J128" s="219" t="s">
        <v>117</v>
      </c>
      <c r="K128" s="219" t="s">
        <v>508</v>
      </c>
      <c r="L128" s="214" t="s">
        <v>484</v>
      </c>
      <c r="M128" s="222">
        <v>2024.0</v>
      </c>
      <c r="N128" s="214" t="s">
        <v>536</v>
      </c>
      <c r="O128" s="223">
        <v>3.0</v>
      </c>
      <c r="P128" s="224">
        <f t="shared" si="1"/>
        <v>0.331096666</v>
      </c>
      <c r="Q128" s="214" t="str">
        <f t="shared" si="2"/>
        <v>High</v>
      </c>
    </row>
    <row r="129" ht="15.75" customHeight="1">
      <c r="A129" s="214" t="s">
        <v>600</v>
      </c>
      <c r="B129" s="216">
        <v>9538.0</v>
      </c>
      <c r="C129" s="216">
        <v>3158.0</v>
      </c>
      <c r="D129" s="217">
        <v>20.0</v>
      </c>
      <c r="E129" s="219" t="s">
        <v>157</v>
      </c>
      <c r="F129" s="219" t="s">
        <v>354</v>
      </c>
      <c r="G129" s="214" t="s">
        <v>350</v>
      </c>
      <c r="H129" s="221">
        <v>44334.0</v>
      </c>
      <c r="I129" s="219" t="s">
        <v>602</v>
      </c>
      <c r="J129" s="219" t="s">
        <v>313</v>
      </c>
      <c r="K129" s="219" t="s">
        <v>526</v>
      </c>
      <c r="L129" s="214" t="s">
        <v>443</v>
      </c>
      <c r="M129" s="222">
        <v>2021.0</v>
      </c>
      <c r="N129" s="214" t="s">
        <v>411</v>
      </c>
      <c r="O129" s="223">
        <v>2.0</v>
      </c>
      <c r="P129" s="224">
        <f t="shared" si="1"/>
        <v>0.331096666</v>
      </c>
      <c r="Q129" s="214" t="str">
        <f t="shared" si="2"/>
        <v>High</v>
      </c>
    </row>
    <row r="130" ht="15.75" customHeight="1">
      <c r="A130" s="214" t="s">
        <v>600</v>
      </c>
      <c r="B130" s="216">
        <v>9035.0</v>
      </c>
      <c r="C130" s="216">
        <v>1227.0</v>
      </c>
      <c r="D130" s="217">
        <v>14.0</v>
      </c>
      <c r="E130" s="219" t="s">
        <v>216</v>
      </c>
      <c r="F130" s="219" t="s">
        <v>359</v>
      </c>
      <c r="G130" s="214" t="s">
        <v>406</v>
      </c>
      <c r="H130" s="221">
        <v>45539.0</v>
      </c>
      <c r="I130" s="219" t="s">
        <v>601</v>
      </c>
      <c r="J130" s="219" t="s">
        <v>117</v>
      </c>
      <c r="K130" s="219" t="s">
        <v>508</v>
      </c>
      <c r="L130" s="214" t="s">
        <v>484</v>
      </c>
      <c r="M130" s="222">
        <v>2024.0</v>
      </c>
      <c r="N130" s="214" t="s">
        <v>536</v>
      </c>
      <c r="O130" s="223">
        <v>3.0</v>
      </c>
      <c r="P130" s="224">
        <f t="shared" si="1"/>
        <v>0.135805202</v>
      </c>
      <c r="Q130" s="214" t="str">
        <f t="shared" si="2"/>
        <v>High</v>
      </c>
    </row>
    <row r="131" ht="15.75" customHeight="1">
      <c r="A131" s="214" t="s">
        <v>600</v>
      </c>
      <c r="B131" s="216">
        <v>9035.0</v>
      </c>
      <c r="C131" s="216">
        <v>1227.0</v>
      </c>
      <c r="D131" s="217">
        <v>14.0</v>
      </c>
      <c r="E131" s="219" t="s">
        <v>216</v>
      </c>
      <c r="F131" s="219" t="s">
        <v>359</v>
      </c>
      <c r="G131" s="214" t="s">
        <v>406</v>
      </c>
      <c r="H131" s="221">
        <v>44334.0</v>
      </c>
      <c r="I131" s="219" t="s">
        <v>602</v>
      </c>
      <c r="J131" s="219" t="s">
        <v>313</v>
      </c>
      <c r="K131" s="219" t="s">
        <v>526</v>
      </c>
      <c r="L131" s="214" t="s">
        <v>443</v>
      </c>
      <c r="M131" s="222">
        <v>2021.0</v>
      </c>
      <c r="N131" s="214" t="s">
        <v>411</v>
      </c>
      <c r="O131" s="223">
        <v>2.0</v>
      </c>
      <c r="P131" s="224">
        <f t="shared" si="1"/>
        <v>0.135805202</v>
      </c>
      <c r="Q131" s="214" t="str">
        <f t="shared" si="2"/>
        <v>High</v>
      </c>
    </row>
    <row r="132" ht="15.75" customHeight="1">
      <c r="A132" s="214" t="s">
        <v>603</v>
      </c>
      <c r="B132" s="216">
        <v>2684.0</v>
      </c>
      <c r="C132" s="216">
        <v>670.0</v>
      </c>
      <c r="D132" s="217">
        <v>2.0</v>
      </c>
      <c r="E132" s="219" t="s">
        <v>242</v>
      </c>
      <c r="F132" s="219" t="s">
        <v>357</v>
      </c>
      <c r="G132" s="214" t="s">
        <v>405</v>
      </c>
      <c r="H132" s="221">
        <v>45475.0</v>
      </c>
      <c r="I132" s="219" t="s">
        <v>604</v>
      </c>
      <c r="J132" s="219" t="s">
        <v>159</v>
      </c>
      <c r="K132" s="219" t="s">
        <v>552</v>
      </c>
      <c r="L132" s="214" t="s">
        <v>482</v>
      </c>
      <c r="M132" s="222">
        <v>2024.0</v>
      </c>
      <c r="N132" s="214" t="s">
        <v>404</v>
      </c>
      <c r="O132" s="223">
        <v>3.0</v>
      </c>
      <c r="P132" s="224">
        <f t="shared" si="1"/>
        <v>0.2496274218</v>
      </c>
      <c r="Q132" s="214" t="str">
        <f t="shared" si="2"/>
        <v>Medium</v>
      </c>
    </row>
    <row r="133" ht="15.75" customHeight="1">
      <c r="A133" s="214" t="s">
        <v>603</v>
      </c>
      <c r="B133" s="216">
        <v>822.0</v>
      </c>
      <c r="C133" s="216">
        <v>147.0</v>
      </c>
      <c r="D133" s="217">
        <v>5.0</v>
      </c>
      <c r="E133" s="219" t="s">
        <v>216</v>
      </c>
      <c r="F133" s="219" t="s">
        <v>347</v>
      </c>
      <c r="G133" s="214" t="s">
        <v>350</v>
      </c>
      <c r="H133" s="221">
        <v>45475.0</v>
      </c>
      <c r="I133" s="219" t="s">
        <v>604</v>
      </c>
      <c r="J133" s="219" t="s">
        <v>159</v>
      </c>
      <c r="K133" s="219" t="s">
        <v>552</v>
      </c>
      <c r="L133" s="214" t="s">
        <v>482</v>
      </c>
      <c r="M133" s="222">
        <v>2024.0</v>
      </c>
      <c r="N133" s="214" t="s">
        <v>404</v>
      </c>
      <c r="O133" s="223">
        <v>3.0</v>
      </c>
      <c r="P133" s="224">
        <f t="shared" si="1"/>
        <v>0.1788321168</v>
      </c>
      <c r="Q133" s="214" t="str">
        <f t="shared" si="2"/>
        <v>Medium</v>
      </c>
    </row>
    <row r="134" ht="15.75" customHeight="1">
      <c r="A134" s="214" t="s">
        <v>603</v>
      </c>
      <c r="B134" s="216">
        <v>9730.0</v>
      </c>
      <c r="C134" s="216">
        <v>2341.0</v>
      </c>
      <c r="D134" s="217">
        <v>2.0</v>
      </c>
      <c r="E134" s="219" t="s">
        <v>216</v>
      </c>
      <c r="F134" s="219" t="s">
        <v>359</v>
      </c>
      <c r="G134" s="214" t="s">
        <v>406</v>
      </c>
      <c r="H134" s="221">
        <v>45475.0</v>
      </c>
      <c r="I134" s="219" t="s">
        <v>604</v>
      </c>
      <c r="J134" s="219" t="s">
        <v>159</v>
      </c>
      <c r="K134" s="219" t="s">
        <v>552</v>
      </c>
      <c r="L134" s="214" t="s">
        <v>482</v>
      </c>
      <c r="M134" s="222">
        <v>2024.0</v>
      </c>
      <c r="N134" s="214" t="s">
        <v>404</v>
      </c>
      <c r="O134" s="223">
        <v>3.0</v>
      </c>
      <c r="P134" s="224">
        <f t="shared" si="1"/>
        <v>0.2405960946</v>
      </c>
      <c r="Q134" s="214" t="str">
        <f t="shared" si="2"/>
        <v>High</v>
      </c>
    </row>
    <row r="135" ht="15.75" customHeight="1">
      <c r="A135" s="214" t="s">
        <v>603</v>
      </c>
      <c r="B135" s="216">
        <v>2483.0</v>
      </c>
      <c r="C135" s="216">
        <v>236.0</v>
      </c>
      <c r="D135" s="217">
        <v>2.0</v>
      </c>
      <c r="E135" s="219" t="s">
        <v>157</v>
      </c>
      <c r="F135" s="219" t="s">
        <v>355</v>
      </c>
      <c r="G135" s="214" t="s">
        <v>405</v>
      </c>
      <c r="H135" s="221">
        <v>45475.0</v>
      </c>
      <c r="I135" s="219" t="s">
        <v>604</v>
      </c>
      <c r="J135" s="219" t="s">
        <v>159</v>
      </c>
      <c r="K135" s="219" t="s">
        <v>552</v>
      </c>
      <c r="L135" s="214" t="s">
        <v>482</v>
      </c>
      <c r="M135" s="222">
        <v>2024.0</v>
      </c>
      <c r="N135" s="214" t="s">
        <v>404</v>
      </c>
      <c r="O135" s="223">
        <v>3.0</v>
      </c>
      <c r="P135" s="224">
        <f t="shared" si="1"/>
        <v>0.09504631494</v>
      </c>
      <c r="Q135" s="214" t="str">
        <f t="shared" si="2"/>
        <v>Medium</v>
      </c>
    </row>
    <row r="136" ht="15.75" customHeight="1">
      <c r="A136" s="214" t="s">
        <v>605</v>
      </c>
      <c r="B136" s="216">
        <v>1297.0</v>
      </c>
      <c r="C136" s="216">
        <v>600.0</v>
      </c>
      <c r="D136" s="217">
        <v>7.0</v>
      </c>
      <c r="E136" s="219" t="s">
        <v>242</v>
      </c>
      <c r="F136" s="219" t="s">
        <v>362</v>
      </c>
      <c r="G136" s="214" t="s">
        <v>350</v>
      </c>
      <c r="H136" s="221">
        <v>45338.0</v>
      </c>
      <c r="I136" s="219" t="s">
        <v>606</v>
      </c>
      <c r="J136" s="219" t="s">
        <v>159</v>
      </c>
      <c r="K136" s="219" t="s">
        <v>409</v>
      </c>
      <c r="L136" s="214" t="s">
        <v>478</v>
      </c>
      <c r="M136" s="222">
        <v>2024.0</v>
      </c>
      <c r="N136" s="214" t="s">
        <v>494</v>
      </c>
      <c r="O136" s="223">
        <v>1.0</v>
      </c>
      <c r="P136" s="224">
        <f t="shared" si="1"/>
        <v>0.4626060139</v>
      </c>
      <c r="Q136" s="214" t="str">
        <f t="shared" si="2"/>
        <v>Medium</v>
      </c>
    </row>
    <row r="137" ht="15.75" customHeight="1">
      <c r="A137" s="214" t="s">
        <v>605</v>
      </c>
      <c r="B137" s="216">
        <v>7909.0</v>
      </c>
      <c r="C137" s="216">
        <v>1942.0</v>
      </c>
      <c r="D137" s="217">
        <v>19.0</v>
      </c>
      <c r="E137" s="219" t="s">
        <v>157</v>
      </c>
      <c r="F137" s="219" t="s">
        <v>358</v>
      </c>
      <c r="G137" s="214" t="s">
        <v>405</v>
      </c>
      <c r="H137" s="221">
        <v>45338.0</v>
      </c>
      <c r="I137" s="219" t="s">
        <v>606</v>
      </c>
      <c r="J137" s="219" t="s">
        <v>159</v>
      </c>
      <c r="K137" s="219" t="s">
        <v>409</v>
      </c>
      <c r="L137" s="214" t="s">
        <v>478</v>
      </c>
      <c r="M137" s="222">
        <v>2024.0</v>
      </c>
      <c r="N137" s="214" t="s">
        <v>494</v>
      </c>
      <c r="O137" s="223">
        <v>1.0</v>
      </c>
      <c r="P137" s="224">
        <f t="shared" si="1"/>
        <v>0.2455430522</v>
      </c>
      <c r="Q137" s="214" t="str">
        <f t="shared" si="2"/>
        <v>High</v>
      </c>
    </row>
    <row r="138" ht="15.75" customHeight="1">
      <c r="A138" s="214" t="s">
        <v>607</v>
      </c>
      <c r="B138" s="216">
        <v>9768.0</v>
      </c>
      <c r="C138" s="216">
        <v>4518.0</v>
      </c>
      <c r="D138" s="217">
        <v>8.0</v>
      </c>
      <c r="E138" s="219" t="s">
        <v>216</v>
      </c>
      <c r="F138" s="219" t="s">
        <v>344</v>
      </c>
      <c r="G138" s="214" t="s">
        <v>350</v>
      </c>
      <c r="H138" s="221">
        <v>44526.0</v>
      </c>
      <c r="I138" s="219" t="s">
        <v>608</v>
      </c>
      <c r="J138" s="219" t="s">
        <v>241</v>
      </c>
      <c r="K138" s="219" t="s">
        <v>493</v>
      </c>
      <c r="L138" s="214" t="s">
        <v>451</v>
      </c>
      <c r="M138" s="222">
        <v>2021.0</v>
      </c>
      <c r="N138" s="214" t="s">
        <v>425</v>
      </c>
      <c r="O138" s="223">
        <v>4.0</v>
      </c>
      <c r="P138" s="224">
        <f t="shared" si="1"/>
        <v>0.4625307125</v>
      </c>
      <c r="Q138" s="214" t="str">
        <f t="shared" si="2"/>
        <v>High</v>
      </c>
    </row>
    <row r="139" ht="15.75" customHeight="1">
      <c r="A139" s="214" t="s">
        <v>607</v>
      </c>
      <c r="B139" s="216">
        <v>4968.0</v>
      </c>
      <c r="C139" s="216">
        <v>934.0</v>
      </c>
      <c r="D139" s="217">
        <v>5.0</v>
      </c>
      <c r="E139" s="219" t="s">
        <v>216</v>
      </c>
      <c r="F139" s="219" t="s">
        <v>347</v>
      </c>
      <c r="G139" s="214" t="s">
        <v>351</v>
      </c>
      <c r="H139" s="221">
        <v>44526.0</v>
      </c>
      <c r="I139" s="219" t="s">
        <v>608</v>
      </c>
      <c r="J139" s="219" t="s">
        <v>241</v>
      </c>
      <c r="K139" s="219" t="s">
        <v>493</v>
      </c>
      <c r="L139" s="214" t="s">
        <v>451</v>
      </c>
      <c r="M139" s="222">
        <v>2021.0</v>
      </c>
      <c r="N139" s="214" t="s">
        <v>425</v>
      </c>
      <c r="O139" s="223">
        <v>4.0</v>
      </c>
      <c r="P139" s="224">
        <f t="shared" si="1"/>
        <v>0.1880032206</v>
      </c>
      <c r="Q139" s="214" t="str">
        <f t="shared" si="2"/>
        <v>Medium</v>
      </c>
    </row>
    <row r="140" ht="15.75" customHeight="1">
      <c r="A140" s="214" t="s">
        <v>607</v>
      </c>
      <c r="B140" s="216">
        <v>1731.0</v>
      </c>
      <c r="C140" s="216">
        <v>149.0</v>
      </c>
      <c r="D140" s="217">
        <v>4.0</v>
      </c>
      <c r="E140" s="219" t="s">
        <v>157</v>
      </c>
      <c r="F140" s="219" t="s">
        <v>360</v>
      </c>
      <c r="G140" s="214" t="s">
        <v>406</v>
      </c>
      <c r="H140" s="221">
        <v>44526.0</v>
      </c>
      <c r="I140" s="219" t="s">
        <v>608</v>
      </c>
      <c r="J140" s="219" t="s">
        <v>241</v>
      </c>
      <c r="K140" s="219" t="s">
        <v>493</v>
      </c>
      <c r="L140" s="214" t="s">
        <v>451</v>
      </c>
      <c r="M140" s="222">
        <v>2021.0</v>
      </c>
      <c r="N140" s="214" t="s">
        <v>425</v>
      </c>
      <c r="O140" s="223">
        <v>4.0</v>
      </c>
      <c r="P140" s="224">
        <f t="shared" si="1"/>
        <v>0.0860774119</v>
      </c>
      <c r="Q140" s="214" t="str">
        <f t="shared" si="2"/>
        <v>Medium</v>
      </c>
    </row>
    <row r="141" ht="15.75" customHeight="1">
      <c r="A141" s="214" t="s">
        <v>609</v>
      </c>
      <c r="B141" s="216">
        <v>3433.0</v>
      </c>
      <c r="C141" s="216">
        <v>1169.0</v>
      </c>
      <c r="D141" s="217">
        <v>10.0</v>
      </c>
      <c r="E141" s="219" t="s">
        <v>242</v>
      </c>
      <c r="F141" s="219" t="s">
        <v>362</v>
      </c>
      <c r="G141" s="214" t="s">
        <v>405</v>
      </c>
      <c r="H141" s="221">
        <v>45323.0</v>
      </c>
      <c r="I141" s="219" t="s">
        <v>610</v>
      </c>
      <c r="J141" s="219" t="s">
        <v>117</v>
      </c>
      <c r="K141" s="219" t="s">
        <v>508</v>
      </c>
      <c r="L141" s="214" t="s">
        <v>478</v>
      </c>
      <c r="M141" s="222">
        <v>2024.0</v>
      </c>
      <c r="N141" s="214" t="s">
        <v>494</v>
      </c>
      <c r="O141" s="223">
        <v>1.0</v>
      </c>
      <c r="P141" s="224">
        <f t="shared" si="1"/>
        <v>0.3405184969</v>
      </c>
      <c r="Q141" s="214" t="str">
        <f t="shared" si="2"/>
        <v>Medium</v>
      </c>
    </row>
    <row r="142" ht="15.75" customHeight="1">
      <c r="A142" s="214" t="s">
        <v>609</v>
      </c>
      <c r="B142" s="216">
        <v>3433.0</v>
      </c>
      <c r="C142" s="216">
        <v>1169.0</v>
      </c>
      <c r="D142" s="217">
        <v>10.0</v>
      </c>
      <c r="E142" s="219" t="s">
        <v>242</v>
      </c>
      <c r="F142" s="219" t="s">
        <v>362</v>
      </c>
      <c r="G142" s="214" t="s">
        <v>405</v>
      </c>
      <c r="H142" s="221">
        <v>44448.0</v>
      </c>
      <c r="I142" s="219" t="s">
        <v>611</v>
      </c>
      <c r="J142" s="219" t="s">
        <v>271</v>
      </c>
      <c r="K142" s="219" t="s">
        <v>449</v>
      </c>
      <c r="L142" s="214" t="s">
        <v>450</v>
      </c>
      <c r="M142" s="222">
        <v>2021.0</v>
      </c>
      <c r="N142" s="214" t="s">
        <v>536</v>
      </c>
      <c r="O142" s="223">
        <v>3.0</v>
      </c>
      <c r="P142" s="224">
        <f t="shared" si="1"/>
        <v>0.3405184969</v>
      </c>
      <c r="Q142" s="214" t="str">
        <f t="shared" si="2"/>
        <v>Medium</v>
      </c>
    </row>
    <row r="143" ht="15.75" customHeight="1">
      <c r="A143" s="214" t="s">
        <v>609</v>
      </c>
      <c r="B143" s="216">
        <v>3433.0</v>
      </c>
      <c r="C143" s="216">
        <v>1169.0</v>
      </c>
      <c r="D143" s="217">
        <v>10.0</v>
      </c>
      <c r="E143" s="219" t="s">
        <v>242</v>
      </c>
      <c r="F143" s="219" t="s">
        <v>362</v>
      </c>
      <c r="G143" s="214" t="s">
        <v>405</v>
      </c>
      <c r="H143" s="221">
        <v>44447.0</v>
      </c>
      <c r="I143" s="219" t="s">
        <v>612</v>
      </c>
      <c r="J143" s="219" t="s">
        <v>117</v>
      </c>
      <c r="K143" s="219" t="s">
        <v>496</v>
      </c>
      <c r="L143" s="214" t="s">
        <v>450</v>
      </c>
      <c r="M143" s="222">
        <v>2021.0</v>
      </c>
      <c r="N143" s="214" t="s">
        <v>536</v>
      </c>
      <c r="O143" s="223">
        <v>3.0</v>
      </c>
      <c r="P143" s="224">
        <f t="shared" si="1"/>
        <v>0.3405184969</v>
      </c>
      <c r="Q143" s="214" t="str">
        <f t="shared" si="2"/>
        <v>Medium</v>
      </c>
    </row>
    <row r="144" ht="15.75" customHeight="1">
      <c r="A144" s="214" t="s">
        <v>609</v>
      </c>
      <c r="B144" s="216">
        <v>3887.0</v>
      </c>
      <c r="C144" s="216">
        <v>1490.0</v>
      </c>
      <c r="D144" s="217">
        <v>1.0</v>
      </c>
      <c r="E144" s="219" t="s">
        <v>242</v>
      </c>
      <c r="F144" s="219" t="s">
        <v>362</v>
      </c>
      <c r="G144" s="214" t="s">
        <v>351</v>
      </c>
      <c r="H144" s="221">
        <v>45323.0</v>
      </c>
      <c r="I144" s="219" t="s">
        <v>610</v>
      </c>
      <c r="J144" s="219" t="s">
        <v>117</v>
      </c>
      <c r="K144" s="219" t="s">
        <v>508</v>
      </c>
      <c r="L144" s="214" t="s">
        <v>478</v>
      </c>
      <c r="M144" s="222">
        <v>2024.0</v>
      </c>
      <c r="N144" s="214" t="s">
        <v>494</v>
      </c>
      <c r="O144" s="223">
        <v>1.0</v>
      </c>
      <c r="P144" s="224">
        <f t="shared" si="1"/>
        <v>0.3833290455</v>
      </c>
      <c r="Q144" s="214" t="str">
        <f t="shared" si="2"/>
        <v>Medium</v>
      </c>
    </row>
    <row r="145" ht="15.75" customHeight="1">
      <c r="A145" s="214" t="s">
        <v>609</v>
      </c>
      <c r="B145" s="216">
        <v>3887.0</v>
      </c>
      <c r="C145" s="216">
        <v>1490.0</v>
      </c>
      <c r="D145" s="217">
        <v>1.0</v>
      </c>
      <c r="E145" s="219" t="s">
        <v>242</v>
      </c>
      <c r="F145" s="219" t="s">
        <v>362</v>
      </c>
      <c r="G145" s="214" t="s">
        <v>351</v>
      </c>
      <c r="H145" s="221">
        <v>44448.0</v>
      </c>
      <c r="I145" s="219" t="s">
        <v>611</v>
      </c>
      <c r="J145" s="219" t="s">
        <v>271</v>
      </c>
      <c r="K145" s="219" t="s">
        <v>449</v>
      </c>
      <c r="L145" s="214" t="s">
        <v>450</v>
      </c>
      <c r="M145" s="222">
        <v>2021.0</v>
      </c>
      <c r="N145" s="214" t="s">
        <v>536</v>
      </c>
      <c r="O145" s="223">
        <v>3.0</v>
      </c>
      <c r="P145" s="224">
        <f t="shared" si="1"/>
        <v>0.3833290455</v>
      </c>
      <c r="Q145" s="214" t="str">
        <f t="shared" si="2"/>
        <v>Medium</v>
      </c>
    </row>
    <row r="146" ht="15.75" customHeight="1">
      <c r="A146" s="214" t="s">
        <v>609</v>
      </c>
      <c r="B146" s="216">
        <v>3887.0</v>
      </c>
      <c r="C146" s="216">
        <v>1490.0</v>
      </c>
      <c r="D146" s="217">
        <v>1.0</v>
      </c>
      <c r="E146" s="219" t="s">
        <v>242</v>
      </c>
      <c r="F146" s="219" t="s">
        <v>362</v>
      </c>
      <c r="G146" s="214" t="s">
        <v>351</v>
      </c>
      <c r="H146" s="221">
        <v>44447.0</v>
      </c>
      <c r="I146" s="219" t="s">
        <v>612</v>
      </c>
      <c r="J146" s="219" t="s">
        <v>117</v>
      </c>
      <c r="K146" s="219" t="s">
        <v>496</v>
      </c>
      <c r="L146" s="214" t="s">
        <v>450</v>
      </c>
      <c r="M146" s="222">
        <v>2021.0</v>
      </c>
      <c r="N146" s="214" t="s">
        <v>536</v>
      </c>
      <c r="O146" s="223">
        <v>3.0</v>
      </c>
      <c r="P146" s="224">
        <f t="shared" si="1"/>
        <v>0.3833290455</v>
      </c>
      <c r="Q146" s="214" t="str">
        <f t="shared" si="2"/>
        <v>Medium</v>
      </c>
    </row>
    <row r="147" ht="15.75" customHeight="1">
      <c r="A147" s="214" t="s">
        <v>613</v>
      </c>
      <c r="B147" s="216">
        <v>1801.0</v>
      </c>
      <c r="C147" s="216">
        <v>641.0</v>
      </c>
      <c r="D147" s="217">
        <v>20.0</v>
      </c>
      <c r="E147" s="219" t="s">
        <v>242</v>
      </c>
      <c r="F147" s="219" t="s">
        <v>317</v>
      </c>
      <c r="G147" s="214" t="s">
        <v>350</v>
      </c>
      <c r="H147" s="221">
        <v>45482.0</v>
      </c>
      <c r="I147" s="219" t="s">
        <v>614</v>
      </c>
      <c r="J147" s="219" t="s">
        <v>117</v>
      </c>
      <c r="K147" s="219" t="s">
        <v>423</v>
      </c>
      <c r="L147" s="214" t="s">
        <v>482</v>
      </c>
      <c r="M147" s="222">
        <v>2024.0</v>
      </c>
      <c r="N147" s="214" t="s">
        <v>404</v>
      </c>
      <c r="O147" s="223">
        <v>3.0</v>
      </c>
      <c r="P147" s="224">
        <f t="shared" si="1"/>
        <v>0.3559133815</v>
      </c>
      <c r="Q147" s="214" t="str">
        <f t="shared" si="2"/>
        <v>Medium</v>
      </c>
    </row>
    <row r="148" ht="15.75" customHeight="1">
      <c r="A148" s="214" t="s">
        <v>613</v>
      </c>
      <c r="B148" s="216">
        <v>5301.0</v>
      </c>
      <c r="C148" s="216">
        <v>817.0</v>
      </c>
      <c r="D148" s="217">
        <v>10.0</v>
      </c>
      <c r="E148" s="219" t="s">
        <v>216</v>
      </c>
      <c r="F148" s="219" t="s">
        <v>344</v>
      </c>
      <c r="G148" s="214" t="s">
        <v>351</v>
      </c>
      <c r="H148" s="221">
        <v>45482.0</v>
      </c>
      <c r="I148" s="219" t="s">
        <v>614</v>
      </c>
      <c r="J148" s="219" t="s">
        <v>117</v>
      </c>
      <c r="K148" s="219" t="s">
        <v>423</v>
      </c>
      <c r="L148" s="214" t="s">
        <v>482</v>
      </c>
      <c r="M148" s="222">
        <v>2024.0</v>
      </c>
      <c r="N148" s="214" t="s">
        <v>404</v>
      </c>
      <c r="O148" s="223">
        <v>3.0</v>
      </c>
      <c r="P148" s="224">
        <f t="shared" si="1"/>
        <v>0.1541218638</v>
      </c>
      <c r="Q148" s="214" t="str">
        <f t="shared" si="2"/>
        <v>High</v>
      </c>
    </row>
    <row r="149" ht="15.75" customHeight="1">
      <c r="A149" s="214" t="s">
        <v>613</v>
      </c>
      <c r="B149" s="216">
        <v>1166.0</v>
      </c>
      <c r="C149" s="216">
        <v>520.0</v>
      </c>
      <c r="D149" s="217">
        <v>12.0</v>
      </c>
      <c r="E149" s="219" t="s">
        <v>242</v>
      </c>
      <c r="F149" s="219" t="s">
        <v>357</v>
      </c>
      <c r="G149" s="214" t="s">
        <v>351</v>
      </c>
      <c r="H149" s="221">
        <v>45482.0</v>
      </c>
      <c r="I149" s="219" t="s">
        <v>614</v>
      </c>
      <c r="J149" s="219" t="s">
        <v>117</v>
      </c>
      <c r="K149" s="219" t="s">
        <v>423</v>
      </c>
      <c r="L149" s="214" t="s">
        <v>482</v>
      </c>
      <c r="M149" s="222">
        <v>2024.0</v>
      </c>
      <c r="N149" s="214" t="s">
        <v>404</v>
      </c>
      <c r="O149" s="223">
        <v>3.0</v>
      </c>
      <c r="P149" s="224">
        <f t="shared" si="1"/>
        <v>0.4459691252</v>
      </c>
      <c r="Q149" s="214" t="str">
        <f t="shared" si="2"/>
        <v>Medium</v>
      </c>
    </row>
    <row r="150" ht="15.75" customHeight="1">
      <c r="A150" s="214" t="s">
        <v>613</v>
      </c>
      <c r="B150" s="216">
        <v>3196.0</v>
      </c>
      <c r="C150" s="216">
        <v>1411.0</v>
      </c>
      <c r="D150" s="217">
        <v>15.0</v>
      </c>
      <c r="E150" s="219" t="s">
        <v>242</v>
      </c>
      <c r="F150" s="219" t="s">
        <v>357</v>
      </c>
      <c r="G150" s="214" t="s">
        <v>351</v>
      </c>
      <c r="H150" s="221">
        <v>45482.0</v>
      </c>
      <c r="I150" s="219" t="s">
        <v>614</v>
      </c>
      <c r="J150" s="219" t="s">
        <v>117</v>
      </c>
      <c r="K150" s="219" t="s">
        <v>423</v>
      </c>
      <c r="L150" s="214" t="s">
        <v>482</v>
      </c>
      <c r="M150" s="222">
        <v>2024.0</v>
      </c>
      <c r="N150" s="214" t="s">
        <v>404</v>
      </c>
      <c r="O150" s="223">
        <v>3.0</v>
      </c>
      <c r="P150" s="224">
        <f t="shared" si="1"/>
        <v>0.4414893617</v>
      </c>
      <c r="Q150" s="214" t="str">
        <f t="shared" si="2"/>
        <v>Medium</v>
      </c>
    </row>
    <row r="151" ht="15.75" customHeight="1">
      <c r="A151" s="214" t="s">
        <v>615</v>
      </c>
      <c r="B151" s="216">
        <v>3428.0</v>
      </c>
      <c r="C151" s="216">
        <v>350.0</v>
      </c>
      <c r="D151" s="217">
        <v>1.0</v>
      </c>
      <c r="E151" s="219" t="s">
        <v>216</v>
      </c>
      <c r="F151" s="219" t="s">
        <v>359</v>
      </c>
      <c r="G151" s="214" t="s">
        <v>350</v>
      </c>
      <c r="H151" s="221">
        <v>44985.0</v>
      </c>
      <c r="I151" s="219" t="s">
        <v>616</v>
      </c>
      <c r="J151" s="219" t="s">
        <v>271</v>
      </c>
      <c r="K151" s="219" t="s">
        <v>449</v>
      </c>
      <c r="L151" s="214" t="s">
        <v>466</v>
      </c>
      <c r="M151" s="222">
        <v>2023.0</v>
      </c>
      <c r="N151" s="214" t="s">
        <v>494</v>
      </c>
      <c r="O151" s="223">
        <v>1.0</v>
      </c>
      <c r="P151" s="224">
        <f t="shared" si="1"/>
        <v>0.1021003501</v>
      </c>
      <c r="Q151" s="214" t="str">
        <f t="shared" si="2"/>
        <v>Medium</v>
      </c>
    </row>
    <row r="152" ht="15.75" customHeight="1">
      <c r="A152" s="214" t="s">
        <v>615</v>
      </c>
      <c r="B152" s="216">
        <v>7223.0</v>
      </c>
      <c r="C152" s="216">
        <v>2433.0</v>
      </c>
      <c r="D152" s="217">
        <v>12.0</v>
      </c>
      <c r="E152" s="219" t="s">
        <v>242</v>
      </c>
      <c r="F152" s="219" t="s">
        <v>362</v>
      </c>
      <c r="G152" s="214" t="s">
        <v>350</v>
      </c>
      <c r="H152" s="221">
        <v>44985.0</v>
      </c>
      <c r="I152" s="219" t="s">
        <v>616</v>
      </c>
      <c r="J152" s="219" t="s">
        <v>271</v>
      </c>
      <c r="K152" s="219" t="s">
        <v>449</v>
      </c>
      <c r="L152" s="214" t="s">
        <v>466</v>
      </c>
      <c r="M152" s="222">
        <v>2023.0</v>
      </c>
      <c r="N152" s="214" t="s">
        <v>494</v>
      </c>
      <c r="O152" s="223">
        <v>1.0</v>
      </c>
      <c r="P152" s="224">
        <f t="shared" si="1"/>
        <v>0.3368406479</v>
      </c>
      <c r="Q152" s="214" t="str">
        <f t="shared" si="2"/>
        <v>High</v>
      </c>
    </row>
    <row r="153" ht="15.75" customHeight="1">
      <c r="A153" s="214" t="s">
        <v>615</v>
      </c>
      <c r="B153" s="216">
        <v>3731.0</v>
      </c>
      <c r="C153" s="216">
        <v>647.0</v>
      </c>
      <c r="D153" s="217">
        <v>1.0</v>
      </c>
      <c r="E153" s="219" t="s">
        <v>242</v>
      </c>
      <c r="F153" s="219" t="s">
        <v>356</v>
      </c>
      <c r="G153" s="214" t="s">
        <v>350</v>
      </c>
      <c r="H153" s="221">
        <v>44985.0</v>
      </c>
      <c r="I153" s="219" t="s">
        <v>616</v>
      </c>
      <c r="J153" s="219" t="s">
        <v>271</v>
      </c>
      <c r="K153" s="219" t="s">
        <v>449</v>
      </c>
      <c r="L153" s="214" t="s">
        <v>466</v>
      </c>
      <c r="M153" s="222">
        <v>2023.0</v>
      </c>
      <c r="N153" s="214" t="s">
        <v>494</v>
      </c>
      <c r="O153" s="223">
        <v>1.0</v>
      </c>
      <c r="P153" s="224">
        <f t="shared" si="1"/>
        <v>0.1734119539</v>
      </c>
      <c r="Q153" s="214" t="str">
        <f t="shared" si="2"/>
        <v>Medium</v>
      </c>
    </row>
    <row r="154" ht="15.75" customHeight="1">
      <c r="A154" s="214" t="s">
        <v>617</v>
      </c>
      <c r="B154" s="216">
        <v>8903.0</v>
      </c>
      <c r="C154" s="216">
        <v>4401.0</v>
      </c>
      <c r="D154" s="217">
        <v>18.0</v>
      </c>
      <c r="E154" s="219" t="s">
        <v>242</v>
      </c>
      <c r="F154" s="219" t="s">
        <v>356</v>
      </c>
      <c r="G154" s="214" t="s">
        <v>350</v>
      </c>
      <c r="H154" s="221">
        <v>44781.0</v>
      </c>
      <c r="I154" s="219" t="s">
        <v>618</v>
      </c>
      <c r="J154" s="219" t="s">
        <v>313</v>
      </c>
      <c r="K154" s="219" t="s">
        <v>512</v>
      </c>
      <c r="L154" s="214" t="s">
        <v>461</v>
      </c>
      <c r="M154" s="222">
        <v>2022.0</v>
      </c>
      <c r="N154" s="214" t="s">
        <v>523</v>
      </c>
      <c r="O154" s="223">
        <v>3.0</v>
      </c>
      <c r="P154" s="224">
        <f t="shared" si="1"/>
        <v>0.4943277547</v>
      </c>
      <c r="Q154" s="214" t="str">
        <f t="shared" si="2"/>
        <v>High</v>
      </c>
    </row>
    <row r="155" ht="15.75" customHeight="1">
      <c r="A155" s="214" t="s">
        <v>619</v>
      </c>
      <c r="B155" s="216">
        <v>6009.0</v>
      </c>
      <c r="C155" s="216">
        <v>2107.0</v>
      </c>
      <c r="D155" s="217">
        <v>7.0</v>
      </c>
      <c r="E155" s="219" t="s">
        <v>157</v>
      </c>
      <c r="F155" s="219" t="s">
        <v>358</v>
      </c>
      <c r="G155" s="214" t="s">
        <v>392</v>
      </c>
      <c r="H155" s="221">
        <v>44902.0</v>
      </c>
      <c r="I155" s="219" t="s">
        <v>620</v>
      </c>
      <c r="J155" s="219" t="s">
        <v>271</v>
      </c>
      <c r="K155" s="219" t="s">
        <v>398</v>
      </c>
      <c r="L155" s="214" t="s">
        <v>464</v>
      </c>
      <c r="M155" s="222">
        <v>2022.0</v>
      </c>
      <c r="N155" s="214" t="s">
        <v>400</v>
      </c>
      <c r="O155" s="223">
        <v>4.0</v>
      </c>
      <c r="P155" s="224">
        <f t="shared" si="1"/>
        <v>0.3506407056</v>
      </c>
      <c r="Q155" s="214" t="str">
        <f t="shared" si="2"/>
        <v>High</v>
      </c>
    </row>
    <row r="156" ht="15.75" customHeight="1">
      <c r="A156" s="214" t="s">
        <v>619</v>
      </c>
      <c r="B156" s="216">
        <v>6009.0</v>
      </c>
      <c r="C156" s="216">
        <v>2107.0</v>
      </c>
      <c r="D156" s="217">
        <v>7.0</v>
      </c>
      <c r="E156" s="219" t="s">
        <v>157</v>
      </c>
      <c r="F156" s="219" t="s">
        <v>358</v>
      </c>
      <c r="G156" s="214" t="s">
        <v>392</v>
      </c>
      <c r="H156" s="221">
        <v>45411.0</v>
      </c>
      <c r="I156" s="219" t="s">
        <v>621</v>
      </c>
      <c r="J156" s="219" t="s">
        <v>241</v>
      </c>
      <c r="K156" s="219" t="s">
        <v>504</v>
      </c>
      <c r="L156" s="214" t="s">
        <v>480</v>
      </c>
      <c r="M156" s="222">
        <v>2024.0</v>
      </c>
      <c r="N156" s="214" t="s">
        <v>542</v>
      </c>
      <c r="O156" s="223">
        <v>2.0</v>
      </c>
      <c r="P156" s="224">
        <f t="shared" si="1"/>
        <v>0.3506407056</v>
      </c>
      <c r="Q156" s="214" t="str">
        <f t="shared" si="2"/>
        <v>High</v>
      </c>
    </row>
    <row r="157" ht="15.75" customHeight="1">
      <c r="A157" s="214" t="s">
        <v>619</v>
      </c>
      <c r="B157" s="216">
        <v>2858.0</v>
      </c>
      <c r="C157" s="216">
        <v>230.0</v>
      </c>
      <c r="D157" s="217">
        <v>3.0</v>
      </c>
      <c r="E157" s="219" t="s">
        <v>216</v>
      </c>
      <c r="F157" s="219" t="s">
        <v>344</v>
      </c>
      <c r="G157" s="214" t="s">
        <v>350</v>
      </c>
      <c r="H157" s="221">
        <v>44902.0</v>
      </c>
      <c r="I157" s="219" t="s">
        <v>620</v>
      </c>
      <c r="J157" s="219" t="s">
        <v>271</v>
      </c>
      <c r="K157" s="219" t="s">
        <v>398</v>
      </c>
      <c r="L157" s="214" t="s">
        <v>464</v>
      </c>
      <c r="M157" s="222">
        <v>2022.0</v>
      </c>
      <c r="N157" s="214" t="s">
        <v>400</v>
      </c>
      <c r="O157" s="223">
        <v>4.0</v>
      </c>
      <c r="P157" s="224">
        <f t="shared" si="1"/>
        <v>0.08047585724</v>
      </c>
      <c r="Q157" s="214" t="str">
        <f t="shared" si="2"/>
        <v>Medium</v>
      </c>
    </row>
    <row r="158" ht="15.75" customHeight="1">
      <c r="A158" s="214" t="s">
        <v>619</v>
      </c>
      <c r="B158" s="216">
        <v>2858.0</v>
      </c>
      <c r="C158" s="216">
        <v>230.0</v>
      </c>
      <c r="D158" s="217">
        <v>3.0</v>
      </c>
      <c r="E158" s="219" t="s">
        <v>216</v>
      </c>
      <c r="F158" s="219" t="s">
        <v>344</v>
      </c>
      <c r="G158" s="214" t="s">
        <v>350</v>
      </c>
      <c r="H158" s="221">
        <v>45411.0</v>
      </c>
      <c r="I158" s="219" t="s">
        <v>621</v>
      </c>
      <c r="J158" s="219" t="s">
        <v>241</v>
      </c>
      <c r="K158" s="219" t="s">
        <v>504</v>
      </c>
      <c r="L158" s="214" t="s">
        <v>480</v>
      </c>
      <c r="M158" s="222">
        <v>2024.0</v>
      </c>
      <c r="N158" s="214" t="s">
        <v>542</v>
      </c>
      <c r="O158" s="223">
        <v>2.0</v>
      </c>
      <c r="P158" s="224">
        <f t="shared" si="1"/>
        <v>0.08047585724</v>
      </c>
      <c r="Q158" s="214" t="str">
        <f t="shared" si="2"/>
        <v>Medium</v>
      </c>
    </row>
    <row r="159" ht="15.75" customHeight="1">
      <c r="A159" s="214" t="s">
        <v>619</v>
      </c>
      <c r="B159" s="216">
        <v>8175.0</v>
      </c>
      <c r="C159" s="216">
        <v>525.0</v>
      </c>
      <c r="D159" s="217">
        <v>7.0</v>
      </c>
      <c r="E159" s="219" t="s">
        <v>216</v>
      </c>
      <c r="F159" s="219" t="s">
        <v>347</v>
      </c>
      <c r="G159" s="214" t="s">
        <v>350</v>
      </c>
      <c r="H159" s="221">
        <v>44902.0</v>
      </c>
      <c r="I159" s="219" t="s">
        <v>620</v>
      </c>
      <c r="J159" s="219" t="s">
        <v>271</v>
      </c>
      <c r="K159" s="219" t="s">
        <v>398</v>
      </c>
      <c r="L159" s="214" t="s">
        <v>464</v>
      </c>
      <c r="M159" s="222">
        <v>2022.0</v>
      </c>
      <c r="N159" s="214" t="s">
        <v>400</v>
      </c>
      <c r="O159" s="223">
        <v>4.0</v>
      </c>
      <c r="P159" s="224">
        <f t="shared" si="1"/>
        <v>0.06422018349</v>
      </c>
      <c r="Q159" s="214" t="str">
        <f t="shared" si="2"/>
        <v>High</v>
      </c>
    </row>
    <row r="160" ht="15.75" customHeight="1">
      <c r="A160" s="214" t="s">
        <v>619</v>
      </c>
      <c r="B160" s="216">
        <v>8175.0</v>
      </c>
      <c r="C160" s="216">
        <v>525.0</v>
      </c>
      <c r="D160" s="217">
        <v>7.0</v>
      </c>
      <c r="E160" s="219" t="s">
        <v>216</v>
      </c>
      <c r="F160" s="219" t="s">
        <v>347</v>
      </c>
      <c r="G160" s="214" t="s">
        <v>350</v>
      </c>
      <c r="H160" s="221">
        <v>45411.0</v>
      </c>
      <c r="I160" s="219" t="s">
        <v>621</v>
      </c>
      <c r="J160" s="219" t="s">
        <v>241</v>
      </c>
      <c r="K160" s="219" t="s">
        <v>504</v>
      </c>
      <c r="L160" s="214" t="s">
        <v>480</v>
      </c>
      <c r="M160" s="222">
        <v>2024.0</v>
      </c>
      <c r="N160" s="214" t="s">
        <v>542</v>
      </c>
      <c r="O160" s="223">
        <v>2.0</v>
      </c>
      <c r="P160" s="224">
        <f t="shared" si="1"/>
        <v>0.06422018349</v>
      </c>
      <c r="Q160" s="214" t="str">
        <f t="shared" si="2"/>
        <v>High</v>
      </c>
    </row>
    <row r="161" ht="15.75" customHeight="1">
      <c r="A161" s="214" t="s">
        <v>619</v>
      </c>
      <c r="B161" s="216">
        <v>5846.0</v>
      </c>
      <c r="C161" s="216">
        <v>586.0</v>
      </c>
      <c r="D161" s="217">
        <v>18.0</v>
      </c>
      <c r="E161" s="219" t="s">
        <v>216</v>
      </c>
      <c r="F161" s="219" t="s">
        <v>347</v>
      </c>
      <c r="G161" s="214" t="s">
        <v>392</v>
      </c>
      <c r="H161" s="221">
        <v>44902.0</v>
      </c>
      <c r="I161" s="219" t="s">
        <v>620</v>
      </c>
      <c r="J161" s="219" t="s">
        <v>271</v>
      </c>
      <c r="K161" s="219" t="s">
        <v>398</v>
      </c>
      <c r="L161" s="214" t="s">
        <v>464</v>
      </c>
      <c r="M161" s="222">
        <v>2022.0</v>
      </c>
      <c r="N161" s="214" t="s">
        <v>400</v>
      </c>
      <c r="O161" s="223">
        <v>4.0</v>
      </c>
      <c r="P161" s="224">
        <f t="shared" si="1"/>
        <v>0.10023948</v>
      </c>
      <c r="Q161" s="214" t="str">
        <f t="shared" si="2"/>
        <v>High</v>
      </c>
    </row>
    <row r="162" ht="15.75" customHeight="1">
      <c r="A162" s="214" t="s">
        <v>619</v>
      </c>
      <c r="B162" s="216">
        <v>5846.0</v>
      </c>
      <c r="C162" s="216">
        <v>586.0</v>
      </c>
      <c r="D162" s="217">
        <v>18.0</v>
      </c>
      <c r="E162" s="219" t="s">
        <v>216</v>
      </c>
      <c r="F162" s="219" t="s">
        <v>347</v>
      </c>
      <c r="G162" s="214" t="s">
        <v>392</v>
      </c>
      <c r="H162" s="221">
        <v>45411.0</v>
      </c>
      <c r="I162" s="219" t="s">
        <v>621</v>
      </c>
      <c r="J162" s="219" t="s">
        <v>241</v>
      </c>
      <c r="K162" s="219" t="s">
        <v>504</v>
      </c>
      <c r="L162" s="214" t="s">
        <v>480</v>
      </c>
      <c r="M162" s="222">
        <v>2024.0</v>
      </c>
      <c r="N162" s="214" t="s">
        <v>542</v>
      </c>
      <c r="O162" s="223">
        <v>2.0</v>
      </c>
      <c r="P162" s="224">
        <f t="shared" si="1"/>
        <v>0.10023948</v>
      </c>
      <c r="Q162" s="214" t="str">
        <f t="shared" si="2"/>
        <v>High</v>
      </c>
    </row>
    <row r="163" ht="15.75" customHeight="1">
      <c r="A163" s="214" t="s">
        <v>622</v>
      </c>
      <c r="B163" s="216">
        <v>706.0</v>
      </c>
      <c r="C163" s="216">
        <v>197.0</v>
      </c>
      <c r="D163" s="217">
        <v>11.0</v>
      </c>
      <c r="E163" s="219" t="s">
        <v>157</v>
      </c>
      <c r="F163" s="219" t="s">
        <v>360</v>
      </c>
      <c r="G163" s="214" t="s">
        <v>350</v>
      </c>
      <c r="H163" s="221">
        <v>44563.0</v>
      </c>
      <c r="I163" s="219" t="s">
        <v>623</v>
      </c>
      <c r="J163" s="219" t="s">
        <v>241</v>
      </c>
      <c r="K163" s="219" t="s">
        <v>504</v>
      </c>
      <c r="L163" s="214" t="s">
        <v>453</v>
      </c>
      <c r="M163" s="222">
        <v>2022.0</v>
      </c>
      <c r="N163" s="214" t="s">
        <v>497</v>
      </c>
      <c r="O163" s="223">
        <v>1.0</v>
      </c>
      <c r="P163" s="224">
        <f t="shared" si="1"/>
        <v>0.2790368272</v>
      </c>
      <c r="Q163" s="214" t="str">
        <f t="shared" si="2"/>
        <v>Medium</v>
      </c>
    </row>
    <row r="164" ht="15.75" customHeight="1">
      <c r="A164" s="214" t="s">
        <v>624</v>
      </c>
      <c r="B164" s="216">
        <v>9835.0</v>
      </c>
      <c r="C164" s="216">
        <v>2571.0</v>
      </c>
      <c r="D164" s="217">
        <v>16.0</v>
      </c>
      <c r="E164" s="219" t="s">
        <v>216</v>
      </c>
      <c r="F164" s="219" t="s">
        <v>344</v>
      </c>
      <c r="G164" s="214" t="s">
        <v>405</v>
      </c>
      <c r="H164" s="221">
        <v>44722.0</v>
      </c>
      <c r="I164" s="219" t="s">
        <v>625</v>
      </c>
      <c r="J164" s="219" t="s">
        <v>241</v>
      </c>
      <c r="K164" s="219" t="s">
        <v>493</v>
      </c>
      <c r="L164" s="214" t="s">
        <v>458</v>
      </c>
      <c r="M164" s="222">
        <v>2022.0</v>
      </c>
      <c r="N164" s="214" t="s">
        <v>396</v>
      </c>
      <c r="O164" s="223">
        <v>2.0</v>
      </c>
      <c r="P164" s="224">
        <f t="shared" si="1"/>
        <v>0.2614133198</v>
      </c>
      <c r="Q164" s="214" t="str">
        <f t="shared" si="2"/>
        <v>High</v>
      </c>
    </row>
    <row r="165" ht="15.75" customHeight="1">
      <c r="A165" s="214" t="s">
        <v>624</v>
      </c>
      <c r="B165" s="216">
        <v>9835.0</v>
      </c>
      <c r="C165" s="216">
        <v>2571.0</v>
      </c>
      <c r="D165" s="217">
        <v>16.0</v>
      </c>
      <c r="E165" s="219" t="s">
        <v>216</v>
      </c>
      <c r="F165" s="219" t="s">
        <v>344</v>
      </c>
      <c r="G165" s="214" t="s">
        <v>405</v>
      </c>
      <c r="H165" s="221">
        <v>44516.0</v>
      </c>
      <c r="I165" s="219" t="s">
        <v>626</v>
      </c>
      <c r="J165" s="219" t="s">
        <v>159</v>
      </c>
      <c r="K165" s="219" t="s">
        <v>409</v>
      </c>
      <c r="L165" s="214" t="s">
        <v>451</v>
      </c>
      <c r="M165" s="222">
        <v>2021.0</v>
      </c>
      <c r="N165" s="214" t="s">
        <v>425</v>
      </c>
      <c r="O165" s="223">
        <v>4.0</v>
      </c>
      <c r="P165" s="224">
        <f t="shared" si="1"/>
        <v>0.2614133198</v>
      </c>
      <c r="Q165" s="214" t="str">
        <f t="shared" si="2"/>
        <v>High</v>
      </c>
    </row>
    <row r="166" ht="15.75" customHeight="1">
      <c r="A166" s="214" t="s">
        <v>624</v>
      </c>
      <c r="B166" s="216">
        <v>9835.0</v>
      </c>
      <c r="C166" s="216">
        <v>2571.0</v>
      </c>
      <c r="D166" s="217">
        <v>16.0</v>
      </c>
      <c r="E166" s="219" t="s">
        <v>216</v>
      </c>
      <c r="F166" s="219" t="s">
        <v>344</v>
      </c>
      <c r="G166" s="214" t="s">
        <v>405</v>
      </c>
      <c r="H166" s="221">
        <v>44790.0</v>
      </c>
      <c r="I166" s="219" t="s">
        <v>627</v>
      </c>
      <c r="J166" s="219" t="s">
        <v>117</v>
      </c>
      <c r="K166" s="219" t="s">
        <v>423</v>
      </c>
      <c r="L166" s="214" t="s">
        <v>461</v>
      </c>
      <c r="M166" s="222">
        <v>2022.0</v>
      </c>
      <c r="N166" s="214" t="s">
        <v>523</v>
      </c>
      <c r="O166" s="223">
        <v>3.0</v>
      </c>
      <c r="P166" s="224">
        <f t="shared" si="1"/>
        <v>0.2614133198</v>
      </c>
      <c r="Q166" s="214" t="str">
        <f t="shared" si="2"/>
        <v>High</v>
      </c>
    </row>
    <row r="167" ht="15.75" customHeight="1">
      <c r="A167" s="214" t="s">
        <v>624</v>
      </c>
      <c r="B167" s="216">
        <v>9691.0</v>
      </c>
      <c r="C167" s="216">
        <v>3056.0</v>
      </c>
      <c r="D167" s="217">
        <v>13.0</v>
      </c>
      <c r="E167" s="219" t="s">
        <v>242</v>
      </c>
      <c r="F167" s="219" t="s">
        <v>317</v>
      </c>
      <c r="G167" s="214" t="s">
        <v>350</v>
      </c>
      <c r="H167" s="221">
        <v>44722.0</v>
      </c>
      <c r="I167" s="219" t="s">
        <v>625</v>
      </c>
      <c r="J167" s="219" t="s">
        <v>241</v>
      </c>
      <c r="K167" s="219" t="s">
        <v>493</v>
      </c>
      <c r="L167" s="214" t="s">
        <v>458</v>
      </c>
      <c r="M167" s="222">
        <v>2022.0</v>
      </c>
      <c r="N167" s="214" t="s">
        <v>396</v>
      </c>
      <c r="O167" s="223">
        <v>2.0</v>
      </c>
      <c r="P167" s="224">
        <f t="shared" si="1"/>
        <v>0.3153441337</v>
      </c>
      <c r="Q167" s="214" t="str">
        <f t="shared" si="2"/>
        <v>High</v>
      </c>
    </row>
    <row r="168" ht="15.75" customHeight="1">
      <c r="A168" s="214" t="s">
        <v>624</v>
      </c>
      <c r="B168" s="216">
        <v>9691.0</v>
      </c>
      <c r="C168" s="216">
        <v>3056.0</v>
      </c>
      <c r="D168" s="217">
        <v>13.0</v>
      </c>
      <c r="E168" s="219" t="s">
        <v>242</v>
      </c>
      <c r="F168" s="219" t="s">
        <v>317</v>
      </c>
      <c r="G168" s="214" t="s">
        <v>350</v>
      </c>
      <c r="H168" s="221">
        <v>44516.0</v>
      </c>
      <c r="I168" s="219" t="s">
        <v>626</v>
      </c>
      <c r="J168" s="219" t="s">
        <v>159</v>
      </c>
      <c r="K168" s="219" t="s">
        <v>409</v>
      </c>
      <c r="L168" s="214" t="s">
        <v>451</v>
      </c>
      <c r="M168" s="222">
        <v>2021.0</v>
      </c>
      <c r="N168" s="214" t="s">
        <v>425</v>
      </c>
      <c r="O168" s="223">
        <v>4.0</v>
      </c>
      <c r="P168" s="224">
        <f t="shared" si="1"/>
        <v>0.3153441337</v>
      </c>
      <c r="Q168" s="214" t="str">
        <f t="shared" si="2"/>
        <v>High</v>
      </c>
    </row>
    <row r="169" ht="15.75" customHeight="1">
      <c r="A169" s="214" t="s">
        <v>624</v>
      </c>
      <c r="B169" s="216">
        <v>9691.0</v>
      </c>
      <c r="C169" s="216">
        <v>3056.0</v>
      </c>
      <c r="D169" s="217">
        <v>13.0</v>
      </c>
      <c r="E169" s="219" t="s">
        <v>242</v>
      </c>
      <c r="F169" s="219" t="s">
        <v>317</v>
      </c>
      <c r="G169" s="214" t="s">
        <v>350</v>
      </c>
      <c r="H169" s="221">
        <v>44790.0</v>
      </c>
      <c r="I169" s="219" t="s">
        <v>627</v>
      </c>
      <c r="J169" s="219" t="s">
        <v>117</v>
      </c>
      <c r="K169" s="219" t="s">
        <v>423</v>
      </c>
      <c r="L169" s="214" t="s">
        <v>461</v>
      </c>
      <c r="M169" s="222">
        <v>2022.0</v>
      </c>
      <c r="N169" s="214" t="s">
        <v>523</v>
      </c>
      <c r="O169" s="223">
        <v>3.0</v>
      </c>
      <c r="P169" s="224">
        <f t="shared" si="1"/>
        <v>0.3153441337</v>
      </c>
      <c r="Q169" s="214" t="str">
        <f t="shared" si="2"/>
        <v>High</v>
      </c>
    </row>
    <row r="170" ht="15.75" customHeight="1">
      <c r="A170" s="214" t="s">
        <v>624</v>
      </c>
      <c r="B170" s="216">
        <v>7826.0</v>
      </c>
      <c r="C170" s="216">
        <v>1221.0</v>
      </c>
      <c r="D170" s="217">
        <v>14.0</v>
      </c>
      <c r="E170" s="219" t="s">
        <v>216</v>
      </c>
      <c r="F170" s="219" t="s">
        <v>361</v>
      </c>
      <c r="G170" s="214" t="s">
        <v>392</v>
      </c>
      <c r="H170" s="221">
        <v>44722.0</v>
      </c>
      <c r="I170" s="219" t="s">
        <v>625</v>
      </c>
      <c r="J170" s="219" t="s">
        <v>241</v>
      </c>
      <c r="K170" s="219" t="s">
        <v>493</v>
      </c>
      <c r="L170" s="214" t="s">
        <v>458</v>
      </c>
      <c r="M170" s="222">
        <v>2022.0</v>
      </c>
      <c r="N170" s="214" t="s">
        <v>396</v>
      </c>
      <c r="O170" s="223">
        <v>2.0</v>
      </c>
      <c r="P170" s="224">
        <f t="shared" si="1"/>
        <v>0.1560184002</v>
      </c>
      <c r="Q170" s="214" t="str">
        <f t="shared" si="2"/>
        <v>High</v>
      </c>
    </row>
    <row r="171" ht="15.75" customHeight="1">
      <c r="A171" s="214" t="s">
        <v>624</v>
      </c>
      <c r="B171" s="216">
        <v>7826.0</v>
      </c>
      <c r="C171" s="216">
        <v>1221.0</v>
      </c>
      <c r="D171" s="217">
        <v>14.0</v>
      </c>
      <c r="E171" s="219" t="s">
        <v>216</v>
      </c>
      <c r="F171" s="219" t="s">
        <v>361</v>
      </c>
      <c r="G171" s="214" t="s">
        <v>392</v>
      </c>
      <c r="H171" s="221">
        <v>44516.0</v>
      </c>
      <c r="I171" s="219" t="s">
        <v>626</v>
      </c>
      <c r="J171" s="219" t="s">
        <v>159</v>
      </c>
      <c r="K171" s="219" t="s">
        <v>409</v>
      </c>
      <c r="L171" s="214" t="s">
        <v>451</v>
      </c>
      <c r="M171" s="222">
        <v>2021.0</v>
      </c>
      <c r="N171" s="214" t="s">
        <v>425</v>
      </c>
      <c r="O171" s="223">
        <v>4.0</v>
      </c>
      <c r="P171" s="224">
        <f t="shared" si="1"/>
        <v>0.1560184002</v>
      </c>
      <c r="Q171" s="214" t="str">
        <f t="shared" si="2"/>
        <v>High</v>
      </c>
    </row>
    <row r="172" ht="15.75" customHeight="1">
      <c r="A172" s="214" t="s">
        <v>624</v>
      </c>
      <c r="B172" s="216">
        <v>7826.0</v>
      </c>
      <c r="C172" s="216">
        <v>1221.0</v>
      </c>
      <c r="D172" s="217">
        <v>14.0</v>
      </c>
      <c r="E172" s="219" t="s">
        <v>216</v>
      </c>
      <c r="F172" s="219" t="s">
        <v>361</v>
      </c>
      <c r="G172" s="214" t="s">
        <v>392</v>
      </c>
      <c r="H172" s="221">
        <v>44790.0</v>
      </c>
      <c r="I172" s="219" t="s">
        <v>627</v>
      </c>
      <c r="J172" s="219" t="s">
        <v>117</v>
      </c>
      <c r="K172" s="219" t="s">
        <v>423</v>
      </c>
      <c r="L172" s="214" t="s">
        <v>461</v>
      </c>
      <c r="M172" s="222">
        <v>2022.0</v>
      </c>
      <c r="N172" s="214" t="s">
        <v>523</v>
      </c>
      <c r="O172" s="223">
        <v>3.0</v>
      </c>
      <c r="P172" s="224">
        <f t="shared" si="1"/>
        <v>0.1560184002</v>
      </c>
      <c r="Q172" s="214" t="str">
        <f t="shared" si="2"/>
        <v>High</v>
      </c>
    </row>
    <row r="173" ht="15.75" customHeight="1">
      <c r="A173" s="214" t="s">
        <v>628</v>
      </c>
      <c r="B173" s="216">
        <v>770.0</v>
      </c>
      <c r="C173" s="216">
        <v>241.0</v>
      </c>
      <c r="D173" s="217">
        <v>11.0</v>
      </c>
      <c r="E173" s="219" t="s">
        <v>216</v>
      </c>
      <c r="F173" s="219" t="s">
        <v>347</v>
      </c>
      <c r="G173" s="214" t="s">
        <v>405</v>
      </c>
      <c r="H173" s="221">
        <v>44523.0</v>
      </c>
      <c r="I173" s="219" t="s">
        <v>629</v>
      </c>
      <c r="J173" s="219" t="s">
        <v>241</v>
      </c>
      <c r="K173" s="219" t="s">
        <v>504</v>
      </c>
      <c r="L173" s="214" t="s">
        <v>451</v>
      </c>
      <c r="M173" s="222">
        <v>2021.0</v>
      </c>
      <c r="N173" s="214" t="s">
        <v>425</v>
      </c>
      <c r="O173" s="223">
        <v>4.0</v>
      </c>
      <c r="P173" s="224">
        <f t="shared" si="1"/>
        <v>0.312987013</v>
      </c>
      <c r="Q173" s="214" t="str">
        <f t="shared" si="2"/>
        <v>Medium</v>
      </c>
    </row>
    <row r="174" ht="15.75" customHeight="1">
      <c r="A174" s="214" t="s">
        <v>628</v>
      </c>
      <c r="B174" s="216">
        <v>770.0</v>
      </c>
      <c r="C174" s="216">
        <v>241.0</v>
      </c>
      <c r="D174" s="217">
        <v>11.0</v>
      </c>
      <c r="E174" s="219" t="s">
        <v>216</v>
      </c>
      <c r="F174" s="219" t="s">
        <v>347</v>
      </c>
      <c r="G174" s="214" t="s">
        <v>405</v>
      </c>
      <c r="H174" s="221">
        <v>44989.0</v>
      </c>
      <c r="I174" s="219" t="s">
        <v>630</v>
      </c>
      <c r="J174" s="219" t="s">
        <v>313</v>
      </c>
      <c r="K174" s="219" t="s">
        <v>518</v>
      </c>
      <c r="L174" s="214" t="s">
        <v>467</v>
      </c>
      <c r="M174" s="222">
        <v>2023.0</v>
      </c>
      <c r="N174" s="214" t="s">
        <v>433</v>
      </c>
      <c r="O174" s="223">
        <v>1.0</v>
      </c>
      <c r="P174" s="224">
        <f t="shared" si="1"/>
        <v>0.312987013</v>
      </c>
      <c r="Q174" s="214" t="str">
        <f t="shared" si="2"/>
        <v>Medium</v>
      </c>
    </row>
    <row r="175" ht="15.75" customHeight="1">
      <c r="A175" s="214" t="s">
        <v>631</v>
      </c>
      <c r="B175" s="216">
        <v>9895.0</v>
      </c>
      <c r="C175" s="216">
        <v>1598.0</v>
      </c>
      <c r="D175" s="217">
        <v>20.0</v>
      </c>
      <c r="E175" s="219" t="s">
        <v>216</v>
      </c>
      <c r="F175" s="219" t="s">
        <v>361</v>
      </c>
      <c r="G175" s="214" t="s">
        <v>405</v>
      </c>
      <c r="H175" s="221">
        <v>45276.0</v>
      </c>
      <c r="I175" s="219" t="s">
        <v>632</v>
      </c>
      <c r="J175" s="219" t="s">
        <v>223</v>
      </c>
      <c r="K175" s="219" t="s">
        <v>473</v>
      </c>
      <c r="L175" s="214" t="s">
        <v>476</v>
      </c>
      <c r="M175" s="222">
        <v>2023.0</v>
      </c>
      <c r="N175" s="214" t="s">
        <v>400</v>
      </c>
      <c r="O175" s="223">
        <v>4.0</v>
      </c>
      <c r="P175" s="224">
        <f t="shared" si="1"/>
        <v>0.1614957049</v>
      </c>
      <c r="Q175" s="214" t="str">
        <f t="shared" si="2"/>
        <v>High</v>
      </c>
    </row>
    <row r="176" ht="15.75" customHeight="1">
      <c r="A176" s="214" t="s">
        <v>633</v>
      </c>
      <c r="B176" s="216">
        <v>6517.0</v>
      </c>
      <c r="C176" s="216">
        <v>1581.0</v>
      </c>
      <c r="D176" s="217">
        <v>10.0</v>
      </c>
      <c r="E176" s="219" t="s">
        <v>242</v>
      </c>
      <c r="F176" s="219" t="s">
        <v>357</v>
      </c>
      <c r="G176" s="214" t="s">
        <v>351</v>
      </c>
      <c r="H176" s="221">
        <v>45431.0</v>
      </c>
      <c r="I176" s="219" t="s">
        <v>634</v>
      </c>
      <c r="J176" s="219" t="s">
        <v>159</v>
      </c>
      <c r="K176" s="219" t="s">
        <v>394</v>
      </c>
      <c r="L176" s="214" t="s">
        <v>410</v>
      </c>
      <c r="M176" s="222">
        <v>2024.0</v>
      </c>
      <c r="N176" s="214" t="s">
        <v>411</v>
      </c>
      <c r="O176" s="223">
        <v>2.0</v>
      </c>
      <c r="P176" s="224">
        <f t="shared" si="1"/>
        <v>0.2425962866</v>
      </c>
      <c r="Q176" s="214" t="str">
        <f t="shared" si="2"/>
        <v>High</v>
      </c>
    </row>
    <row r="177" ht="15.75" customHeight="1">
      <c r="A177" s="214" t="s">
        <v>633</v>
      </c>
      <c r="B177" s="216">
        <v>6517.0</v>
      </c>
      <c r="C177" s="216">
        <v>1581.0</v>
      </c>
      <c r="D177" s="217">
        <v>10.0</v>
      </c>
      <c r="E177" s="219" t="s">
        <v>242</v>
      </c>
      <c r="F177" s="219" t="s">
        <v>357</v>
      </c>
      <c r="G177" s="214" t="s">
        <v>351</v>
      </c>
      <c r="H177" s="221">
        <v>43965.0</v>
      </c>
      <c r="I177" s="219" t="s">
        <v>635</v>
      </c>
      <c r="J177" s="219" t="s">
        <v>159</v>
      </c>
      <c r="K177" s="219" t="s">
        <v>552</v>
      </c>
      <c r="L177" s="214" t="s">
        <v>419</v>
      </c>
      <c r="M177" s="222">
        <v>2020.0</v>
      </c>
      <c r="N177" s="214" t="s">
        <v>411</v>
      </c>
      <c r="O177" s="223">
        <v>2.0</v>
      </c>
      <c r="P177" s="224">
        <f t="shared" si="1"/>
        <v>0.2425962866</v>
      </c>
      <c r="Q177" s="214" t="str">
        <f t="shared" si="2"/>
        <v>High</v>
      </c>
    </row>
    <row r="178" ht="15.75" customHeight="1">
      <c r="A178" s="214" t="s">
        <v>633</v>
      </c>
      <c r="B178" s="216">
        <v>1166.0</v>
      </c>
      <c r="C178" s="216">
        <v>349.0</v>
      </c>
      <c r="D178" s="217">
        <v>11.0</v>
      </c>
      <c r="E178" s="219" t="s">
        <v>216</v>
      </c>
      <c r="F178" s="219" t="s">
        <v>344</v>
      </c>
      <c r="G178" s="214" t="s">
        <v>350</v>
      </c>
      <c r="H178" s="221">
        <v>45431.0</v>
      </c>
      <c r="I178" s="219" t="s">
        <v>634</v>
      </c>
      <c r="J178" s="219" t="s">
        <v>159</v>
      </c>
      <c r="K178" s="219" t="s">
        <v>394</v>
      </c>
      <c r="L178" s="214" t="s">
        <v>410</v>
      </c>
      <c r="M178" s="222">
        <v>2024.0</v>
      </c>
      <c r="N178" s="214" t="s">
        <v>411</v>
      </c>
      <c r="O178" s="223">
        <v>2.0</v>
      </c>
      <c r="P178" s="224">
        <f t="shared" si="1"/>
        <v>0.2993138937</v>
      </c>
      <c r="Q178" s="214" t="str">
        <f t="shared" si="2"/>
        <v>Medium</v>
      </c>
    </row>
    <row r="179" ht="15.75" customHeight="1">
      <c r="A179" s="214" t="s">
        <v>633</v>
      </c>
      <c r="B179" s="216">
        <v>1166.0</v>
      </c>
      <c r="C179" s="216">
        <v>349.0</v>
      </c>
      <c r="D179" s="217">
        <v>11.0</v>
      </c>
      <c r="E179" s="219" t="s">
        <v>216</v>
      </c>
      <c r="F179" s="219" t="s">
        <v>344</v>
      </c>
      <c r="G179" s="214" t="s">
        <v>350</v>
      </c>
      <c r="H179" s="221">
        <v>43965.0</v>
      </c>
      <c r="I179" s="219" t="s">
        <v>635</v>
      </c>
      <c r="J179" s="219" t="s">
        <v>159</v>
      </c>
      <c r="K179" s="219" t="s">
        <v>552</v>
      </c>
      <c r="L179" s="214" t="s">
        <v>419</v>
      </c>
      <c r="M179" s="222">
        <v>2020.0</v>
      </c>
      <c r="N179" s="214" t="s">
        <v>411</v>
      </c>
      <c r="O179" s="223">
        <v>2.0</v>
      </c>
      <c r="P179" s="224">
        <f t="shared" si="1"/>
        <v>0.2993138937</v>
      </c>
      <c r="Q179" s="214" t="str">
        <f t="shared" si="2"/>
        <v>Medium</v>
      </c>
    </row>
    <row r="180" ht="15.75" customHeight="1">
      <c r="A180" s="214" t="s">
        <v>636</v>
      </c>
      <c r="B180" s="216">
        <v>9820.0</v>
      </c>
      <c r="C180" s="216">
        <v>793.0</v>
      </c>
      <c r="D180" s="217">
        <v>16.0</v>
      </c>
      <c r="E180" s="219" t="s">
        <v>216</v>
      </c>
      <c r="F180" s="219" t="s">
        <v>359</v>
      </c>
      <c r="G180" s="214" t="s">
        <v>350</v>
      </c>
      <c r="H180" s="221">
        <v>44437.0</v>
      </c>
      <c r="I180" s="219" t="s">
        <v>637</v>
      </c>
      <c r="J180" s="219" t="s">
        <v>223</v>
      </c>
      <c r="K180" s="219" t="s">
        <v>402</v>
      </c>
      <c r="L180" s="214" t="s">
        <v>445</v>
      </c>
      <c r="M180" s="222">
        <v>2021.0</v>
      </c>
      <c r="N180" s="214" t="s">
        <v>523</v>
      </c>
      <c r="O180" s="223">
        <v>3.0</v>
      </c>
      <c r="P180" s="224">
        <f t="shared" si="1"/>
        <v>0.08075356415</v>
      </c>
      <c r="Q180" s="214" t="str">
        <f t="shared" si="2"/>
        <v>High</v>
      </c>
    </row>
    <row r="181" ht="15.75" customHeight="1">
      <c r="A181" s="214" t="s">
        <v>638</v>
      </c>
      <c r="B181" s="216">
        <v>8563.0</v>
      </c>
      <c r="C181" s="216">
        <v>2624.0</v>
      </c>
      <c r="D181" s="217">
        <v>8.0</v>
      </c>
      <c r="E181" s="219" t="s">
        <v>242</v>
      </c>
      <c r="F181" s="219" t="s">
        <v>362</v>
      </c>
      <c r="G181" s="214" t="s">
        <v>405</v>
      </c>
      <c r="H181" s="221">
        <v>45606.0</v>
      </c>
      <c r="I181" s="219" t="s">
        <v>639</v>
      </c>
      <c r="J181" s="219" t="s">
        <v>241</v>
      </c>
      <c r="K181" s="219" t="s">
        <v>493</v>
      </c>
      <c r="L181" s="214" t="s">
        <v>486</v>
      </c>
      <c r="M181" s="222">
        <v>2024.0</v>
      </c>
      <c r="N181" s="214" t="s">
        <v>425</v>
      </c>
      <c r="O181" s="223">
        <v>4.0</v>
      </c>
      <c r="P181" s="224">
        <f t="shared" si="1"/>
        <v>0.3064346607</v>
      </c>
      <c r="Q181" s="214" t="str">
        <f t="shared" si="2"/>
        <v>High</v>
      </c>
    </row>
    <row r="182" ht="15.75" customHeight="1">
      <c r="A182" s="214" t="s">
        <v>638</v>
      </c>
      <c r="B182" s="216">
        <v>4441.0</v>
      </c>
      <c r="C182" s="216">
        <v>281.0</v>
      </c>
      <c r="D182" s="217">
        <v>20.0</v>
      </c>
      <c r="E182" s="219" t="s">
        <v>157</v>
      </c>
      <c r="F182" s="219" t="s">
        <v>354</v>
      </c>
      <c r="G182" s="214" t="s">
        <v>405</v>
      </c>
      <c r="H182" s="221">
        <v>45606.0</v>
      </c>
      <c r="I182" s="219" t="s">
        <v>639</v>
      </c>
      <c r="J182" s="219" t="s">
        <v>241</v>
      </c>
      <c r="K182" s="219" t="s">
        <v>493</v>
      </c>
      <c r="L182" s="214" t="s">
        <v>486</v>
      </c>
      <c r="M182" s="222">
        <v>2024.0</v>
      </c>
      <c r="N182" s="214" t="s">
        <v>425</v>
      </c>
      <c r="O182" s="223">
        <v>4.0</v>
      </c>
      <c r="P182" s="224">
        <f t="shared" si="1"/>
        <v>0.06327403738</v>
      </c>
      <c r="Q182" s="214" t="str">
        <f t="shared" si="2"/>
        <v>Medium</v>
      </c>
    </row>
    <row r="183" ht="15.75" customHeight="1">
      <c r="A183" s="214" t="s">
        <v>640</v>
      </c>
      <c r="B183" s="216">
        <v>7340.0</v>
      </c>
      <c r="C183" s="216">
        <v>2271.0</v>
      </c>
      <c r="D183" s="217">
        <v>8.0</v>
      </c>
      <c r="E183" s="219" t="s">
        <v>242</v>
      </c>
      <c r="F183" s="219" t="s">
        <v>357</v>
      </c>
      <c r="G183" s="214" t="s">
        <v>406</v>
      </c>
      <c r="H183" s="221">
        <v>44535.0</v>
      </c>
      <c r="I183" s="219" t="s">
        <v>641</v>
      </c>
      <c r="J183" s="219" t="s">
        <v>159</v>
      </c>
      <c r="K183" s="219" t="s">
        <v>409</v>
      </c>
      <c r="L183" s="214" t="s">
        <v>452</v>
      </c>
      <c r="M183" s="222">
        <v>2021.0</v>
      </c>
      <c r="N183" s="214" t="s">
        <v>400</v>
      </c>
      <c r="O183" s="223">
        <v>4.0</v>
      </c>
      <c r="P183" s="224">
        <f t="shared" si="1"/>
        <v>0.309400545</v>
      </c>
      <c r="Q183" s="214" t="str">
        <f t="shared" si="2"/>
        <v>High</v>
      </c>
    </row>
    <row r="184" ht="15.75" customHeight="1">
      <c r="A184" s="214" t="s">
        <v>640</v>
      </c>
      <c r="B184" s="216">
        <v>5442.0</v>
      </c>
      <c r="C184" s="216">
        <v>1610.0</v>
      </c>
      <c r="D184" s="217">
        <v>1.0</v>
      </c>
      <c r="E184" s="219" t="s">
        <v>157</v>
      </c>
      <c r="F184" s="219" t="s">
        <v>358</v>
      </c>
      <c r="G184" s="214" t="s">
        <v>406</v>
      </c>
      <c r="H184" s="221">
        <v>44535.0</v>
      </c>
      <c r="I184" s="219" t="s">
        <v>641</v>
      </c>
      <c r="J184" s="219" t="s">
        <v>159</v>
      </c>
      <c r="K184" s="219" t="s">
        <v>409</v>
      </c>
      <c r="L184" s="214" t="s">
        <v>452</v>
      </c>
      <c r="M184" s="222">
        <v>2021.0</v>
      </c>
      <c r="N184" s="214" t="s">
        <v>400</v>
      </c>
      <c r="O184" s="223">
        <v>4.0</v>
      </c>
      <c r="P184" s="224">
        <f t="shared" si="1"/>
        <v>0.295847115</v>
      </c>
      <c r="Q184" s="214" t="str">
        <f t="shared" si="2"/>
        <v>High</v>
      </c>
    </row>
    <row r="185" ht="15.75" customHeight="1">
      <c r="A185" s="214" t="s">
        <v>642</v>
      </c>
      <c r="B185" s="216">
        <v>1895.0</v>
      </c>
      <c r="C185" s="216">
        <v>391.0</v>
      </c>
      <c r="D185" s="217">
        <v>14.0</v>
      </c>
      <c r="E185" s="219" t="s">
        <v>216</v>
      </c>
      <c r="F185" s="219" t="s">
        <v>344</v>
      </c>
      <c r="G185" s="214" t="s">
        <v>392</v>
      </c>
      <c r="H185" s="221">
        <v>45478.0</v>
      </c>
      <c r="I185" s="219" t="s">
        <v>643</v>
      </c>
      <c r="J185" s="219" t="s">
        <v>159</v>
      </c>
      <c r="K185" s="219" t="s">
        <v>552</v>
      </c>
      <c r="L185" s="214" t="s">
        <v>482</v>
      </c>
      <c r="M185" s="222">
        <v>2024.0</v>
      </c>
      <c r="N185" s="214" t="s">
        <v>404</v>
      </c>
      <c r="O185" s="223">
        <v>3.0</v>
      </c>
      <c r="P185" s="224">
        <f t="shared" si="1"/>
        <v>0.2063324538</v>
      </c>
      <c r="Q185" s="214" t="str">
        <f t="shared" si="2"/>
        <v>Medium</v>
      </c>
    </row>
    <row r="186" ht="15.75" customHeight="1">
      <c r="A186" s="214" t="s">
        <v>642</v>
      </c>
      <c r="B186" s="216">
        <v>5323.0</v>
      </c>
      <c r="C186" s="216">
        <v>322.0</v>
      </c>
      <c r="D186" s="217">
        <v>13.0</v>
      </c>
      <c r="E186" s="219" t="s">
        <v>242</v>
      </c>
      <c r="F186" s="219" t="s">
        <v>362</v>
      </c>
      <c r="G186" s="214" t="s">
        <v>405</v>
      </c>
      <c r="H186" s="221">
        <v>45478.0</v>
      </c>
      <c r="I186" s="219" t="s">
        <v>643</v>
      </c>
      <c r="J186" s="219" t="s">
        <v>159</v>
      </c>
      <c r="K186" s="219" t="s">
        <v>552</v>
      </c>
      <c r="L186" s="214" t="s">
        <v>482</v>
      </c>
      <c r="M186" s="222">
        <v>2024.0</v>
      </c>
      <c r="N186" s="214" t="s">
        <v>404</v>
      </c>
      <c r="O186" s="223">
        <v>3.0</v>
      </c>
      <c r="P186" s="224">
        <f t="shared" si="1"/>
        <v>0.06049220364</v>
      </c>
      <c r="Q186" s="214" t="str">
        <f t="shared" si="2"/>
        <v>High</v>
      </c>
    </row>
    <row r="187" ht="15.75" customHeight="1">
      <c r="A187" s="214" t="s">
        <v>644</v>
      </c>
      <c r="B187" s="216">
        <v>8850.0</v>
      </c>
      <c r="C187" s="216">
        <v>279.0</v>
      </c>
      <c r="D187" s="217">
        <v>13.0</v>
      </c>
      <c r="E187" s="219" t="s">
        <v>242</v>
      </c>
      <c r="F187" s="219" t="s">
        <v>317</v>
      </c>
      <c r="G187" s="214" t="s">
        <v>351</v>
      </c>
      <c r="H187" s="221">
        <v>45468.0</v>
      </c>
      <c r="I187" s="219" t="s">
        <v>645</v>
      </c>
      <c r="J187" s="219" t="s">
        <v>159</v>
      </c>
      <c r="K187" s="219" t="s">
        <v>394</v>
      </c>
      <c r="L187" s="214" t="s">
        <v>481</v>
      </c>
      <c r="M187" s="222">
        <v>2024.0</v>
      </c>
      <c r="N187" s="214" t="s">
        <v>396</v>
      </c>
      <c r="O187" s="223">
        <v>2.0</v>
      </c>
      <c r="P187" s="224">
        <f t="shared" si="1"/>
        <v>0.03152542373</v>
      </c>
      <c r="Q187" s="214" t="str">
        <f t="shared" si="2"/>
        <v>High</v>
      </c>
    </row>
    <row r="188" ht="15.75" customHeight="1">
      <c r="A188" s="214" t="s">
        <v>644</v>
      </c>
      <c r="B188" s="216">
        <v>8667.0</v>
      </c>
      <c r="C188" s="216">
        <v>1266.0</v>
      </c>
      <c r="D188" s="217">
        <v>6.0</v>
      </c>
      <c r="E188" s="219" t="s">
        <v>242</v>
      </c>
      <c r="F188" s="219" t="s">
        <v>357</v>
      </c>
      <c r="G188" s="214" t="s">
        <v>351</v>
      </c>
      <c r="H188" s="221">
        <v>45468.0</v>
      </c>
      <c r="I188" s="219" t="s">
        <v>645</v>
      </c>
      <c r="J188" s="219" t="s">
        <v>159</v>
      </c>
      <c r="K188" s="219" t="s">
        <v>394</v>
      </c>
      <c r="L188" s="214" t="s">
        <v>481</v>
      </c>
      <c r="M188" s="222">
        <v>2024.0</v>
      </c>
      <c r="N188" s="214" t="s">
        <v>396</v>
      </c>
      <c r="O188" s="223">
        <v>2.0</v>
      </c>
      <c r="P188" s="224">
        <f t="shared" si="1"/>
        <v>0.1460713049</v>
      </c>
      <c r="Q188" s="214" t="str">
        <f t="shared" si="2"/>
        <v>High</v>
      </c>
    </row>
    <row r="189" ht="15.75" customHeight="1">
      <c r="A189" s="214" t="s">
        <v>646</v>
      </c>
      <c r="B189" s="216">
        <v>6903.0</v>
      </c>
      <c r="C189" s="216">
        <v>105.0</v>
      </c>
      <c r="D189" s="217">
        <v>1.0</v>
      </c>
      <c r="E189" s="219" t="s">
        <v>216</v>
      </c>
      <c r="F189" s="219" t="s">
        <v>344</v>
      </c>
      <c r="G189" s="214" t="s">
        <v>405</v>
      </c>
      <c r="H189" s="221">
        <v>45443.0</v>
      </c>
      <c r="I189" s="219" t="s">
        <v>647</v>
      </c>
      <c r="J189" s="219" t="s">
        <v>271</v>
      </c>
      <c r="K189" s="219" t="s">
        <v>398</v>
      </c>
      <c r="L189" s="214" t="s">
        <v>410</v>
      </c>
      <c r="M189" s="222">
        <v>2024.0</v>
      </c>
      <c r="N189" s="214" t="s">
        <v>411</v>
      </c>
      <c r="O189" s="223">
        <v>2.0</v>
      </c>
      <c r="P189" s="224">
        <f t="shared" si="1"/>
        <v>0.01521077792</v>
      </c>
      <c r="Q189" s="214" t="str">
        <f t="shared" si="2"/>
        <v>High</v>
      </c>
    </row>
    <row r="190" ht="15.75" customHeight="1">
      <c r="A190" s="214" t="s">
        <v>646</v>
      </c>
      <c r="B190" s="216">
        <v>8793.0</v>
      </c>
      <c r="C190" s="216">
        <v>3010.0</v>
      </c>
      <c r="D190" s="217">
        <v>7.0</v>
      </c>
      <c r="E190" s="219" t="s">
        <v>242</v>
      </c>
      <c r="F190" s="219" t="s">
        <v>356</v>
      </c>
      <c r="G190" s="214" t="s">
        <v>405</v>
      </c>
      <c r="H190" s="221">
        <v>45443.0</v>
      </c>
      <c r="I190" s="219" t="s">
        <v>647</v>
      </c>
      <c r="J190" s="219" t="s">
        <v>271</v>
      </c>
      <c r="K190" s="219" t="s">
        <v>398</v>
      </c>
      <c r="L190" s="214" t="s">
        <v>410</v>
      </c>
      <c r="M190" s="222">
        <v>2024.0</v>
      </c>
      <c r="N190" s="214" t="s">
        <v>411</v>
      </c>
      <c r="O190" s="223">
        <v>2.0</v>
      </c>
      <c r="P190" s="224">
        <f t="shared" si="1"/>
        <v>0.3423177528</v>
      </c>
      <c r="Q190" s="214" t="str">
        <f t="shared" si="2"/>
        <v>High</v>
      </c>
    </row>
    <row r="191" ht="15.75" customHeight="1">
      <c r="A191" s="214" t="s">
        <v>648</v>
      </c>
      <c r="B191" s="216">
        <v>9883.0</v>
      </c>
      <c r="C191" s="216">
        <v>4812.0</v>
      </c>
      <c r="D191" s="217">
        <v>16.0</v>
      </c>
      <c r="E191" s="219" t="s">
        <v>242</v>
      </c>
      <c r="F191" s="219" t="s">
        <v>357</v>
      </c>
      <c r="G191" s="214" t="s">
        <v>392</v>
      </c>
      <c r="H191" s="221">
        <v>44124.0</v>
      </c>
      <c r="I191" s="219" t="s">
        <v>649</v>
      </c>
      <c r="J191" s="219" t="s">
        <v>223</v>
      </c>
      <c r="K191" s="219" t="s">
        <v>402</v>
      </c>
      <c r="L191" s="214" t="s">
        <v>435</v>
      </c>
      <c r="M191" s="222">
        <v>2020.0</v>
      </c>
      <c r="N191" s="214" t="s">
        <v>414</v>
      </c>
      <c r="O191" s="223">
        <v>4.0</v>
      </c>
      <c r="P191" s="224">
        <f t="shared" si="1"/>
        <v>0.4868966913</v>
      </c>
      <c r="Q191" s="214" t="str">
        <f t="shared" si="2"/>
        <v>High</v>
      </c>
    </row>
    <row r="192" ht="15.75" customHeight="1">
      <c r="A192" s="214" t="s">
        <v>648</v>
      </c>
      <c r="B192" s="216">
        <v>9883.0</v>
      </c>
      <c r="C192" s="216">
        <v>4812.0</v>
      </c>
      <c r="D192" s="217">
        <v>16.0</v>
      </c>
      <c r="E192" s="219" t="s">
        <v>242</v>
      </c>
      <c r="F192" s="219" t="s">
        <v>357</v>
      </c>
      <c r="G192" s="214" t="s">
        <v>392</v>
      </c>
      <c r="H192" s="221">
        <v>44784.0</v>
      </c>
      <c r="I192" s="219" t="s">
        <v>650</v>
      </c>
      <c r="J192" s="219" t="s">
        <v>159</v>
      </c>
      <c r="K192" s="219" t="s">
        <v>409</v>
      </c>
      <c r="L192" s="214" t="s">
        <v>461</v>
      </c>
      <c r="M192" s="222">
        <v>2022.0</v>
      </c>
      <c r="N192" s="214" t="s">
        <v>523</v>
      </c>
      <c r="O192" s="223">
        <v>3.0</v>
      </c>
      <c r="P192" s="224">
        <f t="shared" si="1"/>
        <v>0.4868966913</v>
      </c>
      <c r="Q192" s="214" t="str">
        <f t="shared" si="2"/>
        <v>High</v>
      </c>
    </row>
    <row r="193" ht="15.75" customHeight="1">
      <c r="A193" s="214" t="s">
        <v>648</v>
      </c>
      <c r="B193" s="216">
        <v>9883.0</v>
      </c>
      <c r="C193" s="216">
        <v>4812.0</v>
      </c>
      <c r="D193" s="217">
        <v>16.0</v>
      </c>
      <c r="E193" s="219" t="s">
        <v>242</v>
      </c>
      <c r="F193" s="219" t="s">
        <v>357</v>
      </c>
      <c r="G193" s="214" t="s">
        <v>392</v>
      </c>
      <c r="H193" s="221">
        <v>44486.0</v>
      </c>
      <c r="I193" s="219" t="s">
        <v>651</v>
      </c>
      <c r="J193" s="219" t="s">
        <v>271</v>
      </c>
      <c r="K193" s="219" t="s">
        <v>449</v>
      </c>
      <c r="L193" s="214" t="s">
        <v>413</v>
      </c>
      <c r="M193" s="222">
        <v>2021.0</v>
      </c>
      <c r="N193" s="214" t="s">
        <v>414</v>
      </c>
      <c r="O193" s="223">
        <v>4.0</v>
      </c>
      <c r="P193" s="224">
        <f t="shared" si="1"/>
        <v>0.4868966913</v>
      </c>
      <c r="Q193" s="214" t="str">
        <f t="shared" si="2"/>
        <v>High</v>
      </c>
    </row>
    <row r="194" ht="15.75" customHeight="1">
      <c r="A194" s="214" t="s">
        <v>648</v>
      </c>
      <c r="B194" s="216">
        <v>5210.0</v>
      </c>
      <c r="C194" s="216">
        <v>1185.0</v>
      </c>
      <c r="D194" s="217">
        <v>7.0</v>
      </c>
      <c r="E194" s="219" t="s">
        <v>242</v>
      </c>
      <c r="F194" s="219" t="s">
        <v>357</v>
      </c>
      <c r="G194" s="214" t="s">
        <v>392</v>
      </c>
      <c r="H194" s="221">
        <v>44124.0</v>
      </c>
      <c r="I194" s="219" t="s">
        <v>649</v>
      </c>
      <c r="J194" s="219" t="s">
        <v>223</v>
      </c>
      <c r="K194" s="219" t="s">
        <v>402</v>
      </c>
      <c r="L194" s="214" t="s">
        <v>435</v>
      </c>
      <c r="M194" s="222">
        <v>2020.0</v>
      </c>
      <c r="N194" s="214" t="s">
        <v>414</v>
      </c>
      <c r="O194" s="223">
        <v>4.0</v>
      </c>
      <c r="P194" s="224">
        <f t="shared" si="1"/>
        <v>0.2274472169</v>
      </c>
      <c r="Q194" s="214" t="str">
        <f t="shared" si="2"/>
        <v>High</v>
      </c>
    </row>
    <row r="195" ht="15.75" customHeight="1">
      <c r="A195" s="214" t="s">
        <v>648</v>
      </c>
      <c r="B195" s="216">
        <v>5210.0</v>
      </c>
      <c r="C195" s="216">
        <v>1185.0</v>
      </c>
      <c r="D195" s="217">
        <v>7.0</v>
      </c>
      <c r="E195" s="219" t="s">
        <v>242</v>
      </c>
      <c r="F195" s="219" t="s">
        <v>357</v>
      </c>
      <c r="G195" s="214" t="s">
        <v>392</v>
      </c>
      <c r="H195" s="221">
        <v>44784.0</v>
      </c>
      <c r="I195" s="219" t="s">
        <v>650</v>
      </c>
      <c r="J195" s="219" t="s">
        <v>159</v>
      </c>
      <c r="K195" s="219" t="s">
        <v>409</v>
      </c>
      <c r="L195" s="214" t="s">
        <v>461</v>
      </c>
      <c r="M195" s="222">
        <v>2022.0</v>
      </c>
      <c r="N195" s="214" t="s">
        <v>523</v>
      </c>
      <c r="O195" s="223">
        <v>3.0</v>
      </c>
      <c r="P195" s="224">
        <f t="shared" si="1"/>
        <v>0.2274472169</v>
      </c>
      <c r="Q195" s="214" t="str">
        <f t="shared" si="2"/>
        <v>High</v>
      </c>
    </row>
    <row r="196" ht="15.75" customHeight="1">
      <c r="A196" s="214" t="s">
        <v>648</v>
      </c>
      <c r="B196" s="216">
        <v>5210.0</v>
      </c>
      <c r="C196" s="216">
        <v>1185.0</v>
      </c>
      <c r="D196" s="217">
        <v>7.0</v>
      </c>
      <c r="E196" s="219" t="s">
        <v>242</v>
      </c>
      <c r="F196" s="219" t="s">
        <v>357</v>
      </c>
      <c r="G196" s="214" t="s">
        <v>392</v>
      </c>
      <c r="H196" s="221">
        <v>44486.0</v>
      </c>
      <c r="I196" s="219" t="s">
        <v>651</v>
      </c>
      <c r="J196" s="219" t="s">
        <v>271</v>
      </c>
      <c r="K196" s="219" t="s">
        <v>449</v>
      </c>
      <c r="L196" s="214" t="s">
        <v>413</v>
      </c>
      <c r="M196" s="222">
        <v>2021.0</v>
      </c>
      <c r="N196" s="214" t="s">
        <v>414</v>
      </c>
      <c r="O196" s="223">
        <v>4.0</v>
      </c>
      <c r="P196" s="224">
        <f t="shared" si="1"/>
        <v>0.2274472169</v>
      </c>
      <c r="Q196" s="214" t="str">
        <f t="shared" si="2"/>
        <v>High</v>
      </c>
    </row>
    <row r="197" ht="15.75" customHeight="1">
      <c r="A197" s="214" t="s">
        <v>652</v>
      </c>
      <c r="B197" s="216">
        <v>3574.0</v>
      </c>
      <c r="C197" s="216">
        <v>851.0</v>
      </c>
      <c r="D197" s="217">
        <v>4.0</v>
      </c>
      <c r="E197" s="219" t="s">
        <v>157</v>
      </c>
      <c r="F197" s="219" t="s">
        <v>354</v>
      </c>
      <c r="G197" s="214" t="s">
        <v>350</v>
      </c>
      <c r="H197" s="221">
        <v>44615.0</v>
      </c>
      <c r="I197" s="219" t="s">
        <v>653</v>
      </c>
      <c r="J197" s="219" t="s">
        <v>117</v>
      </c>
      <c r="K197" s="219" t="s">
        <v>423</v>
      </c>
      <c r="L197" s="214" t="s">
        <v>454</v>
      </c>
      <c r="M197" s="222">
        <v>2022.0</v>
      </c>
      <c r="N197" s="214" t="s">
        <v>494</v>
      </c>
      <c r="O197" s="223">
        <v>1.0</v>
      </c>
      <c r="P197" s="224">
        <f t="shared" si="1"/>
        <v>0.2381085618</v>
      </c>
      <c r="Q197" s="214" t="str">
        <f t="shared" si="2"/>
        <v>Medium</v>
      </c>
    </row>
    <row r="198" ht="15.75" customHeight="1">
      <c r="A198" s="214" t="s">
        <v>652</v>
      </c>
      <c r="B198" s="216">
        <v>576.0</v>
      </c>
      <c r="C198" s="216">
        <v>76.0</v>
      </c>
      <c r="D198" s="217">
        <v>13.0</v>
      </c>
      <c r="E198" s="219" t="s">
        <v>216</v>
      </c>
      <c r="F198" s="219" t="s">
        <v>347</v>
      </c>
      <c r="G198" s="214" t="s">
        <v>392</v>
      </c>
      <c r="H198" s="221">
        <v>44615.0</v>
      </c>
      <c r="I198" s="219" t="s">
        <v>653</v>
      </c>
      <c r="J198" s="219" t="s">
        <v>117</v>
      </c>
      <c r="K198" s="219" t="s">
        <v>423</v>
      </c>
      <c r="L198" s="214" t="s">
        <v>454</v>
      </c>
      <c r="M198" s="222">
        <v>2022.0</v>
      </c>
      <c r="N198" s="214" t="s">
        <v>494</v>
      </c>
      <c r="O198" s="223">
        <v>1.0</v>
      </c>
      <c r="P198" s="224">
        <f t="shared" si="1"/>
        <v>0.1319444444</v>
      </c>
      <c r="Q198" s="214" t="str">
        <f t="shared" si="2"/>
        <v>Medium</v>
      </c>
    </row>
    <row r="199" ht="15.75" customHeight="1">
      <c r="A199" s="214" t="s">
        <v>654</v>
      </c>
      <c r="B199" s="216">
        <v>1860.0</v>
      </c>
      <c r="C199" s="216">
        <v>457.0</v>
      </c>
      <c r="D199" s="217">
        <v>13.0</v>
      </c>
      <c r="E199" s="219" t="s">
        <v>157</v>
      </c>
      <c r="F199" s="219" t="s">
        <v>354</v>
      </c>
      <c r="G199" s="214" t="s">
        <v>406</v>
      </c>
      <c r="H199" s="221">
        <v>45189.0</v>
      </c>
      <c r="I199" s="219" t="s">
        <v>655</v>
      </c>
      <c r="J199" s="219" t="s">
        <v>313</v>
      </c>
      <c r="K199" s="219" t="s">
        <v>526</v>
      </c>
      <c r="L199" s="214" t="s">
        <v>474</v>
      </c>
      <c r="M199" s="222">
        <v>2023.0</v>
      </c>
      <c r="N199" s="214" t="s">
        <v>536</v>
      </c>
      <c r="O199" s="223">
        <v>3.0</v>
      </c>
      <c r="P199" s="224">
        <f t="shared" si="1"/>
        <v>0.2456989247</v>
      </c>
      <c r="Q199" s="214" t="str">
        <f t="shared" si="2"/>
        <v>Medium</v>
      </c>
    </row>
    <row r="200" ht="15.75" customHeight="1">
      <c r="A200" s="214" t="s">
        <v>656</v>
      </c>
      <c r="B200" s="216">
        <v>782.0</v>
      </c>
      <c r="C200" s="216">
        <v>374.0</v>
      </c>
      <c r="D200" s="217">
        <v>8.0</v>
      </c>
      <c r="E200" s="219" t="s">
        <v>242</v>
      </c>
      <c r="F200" s="219" t="s">
        <v>356</v>
      </c>
      <c r="G200" s="214" t="s">
        <v>406</v>
      </c>
      <c r="H200" s="221">
        <v>44215.0</v>
      </c>
      <c r="I200" s="219" t="s">
        <v>657</v>
      </c>
      <c r="J200" s="219" t="s">
        <v>271</v>
      </c>
      <c r="K200" s="219" t="s">
        <v>568</v>
      </c>
      <c r="L200" s="214" t="s">
        <v>438</v>
      </c>
      <c r="M200" s="222">
        <v>2021.0</v>
      </c>
      <c r="N200" s="214" t="s">
        <v>497</v>
      </c>
      <c r="O200" s="223">
        <v>1.0</v>
      </c>
      <c r="P200" s="224">
        <f t="shared" si="1"/>
        <v>0.4782608696</v>
      </c>
      <c r="Q200" s="214" t="str">
        <f t="shared" si="2"/>
        <v>Medium</v>
      </c>
    </row>
    <row r="201" ht="15.75" customHeight="1">
      <c r="A201" s="214" t="s">
        <v>656</v>
      </c>
      <c r="B201" s="216">
        <v>4371.0</v>
      </c>
      <c r="C201" s="216">
        <v>1852.0</v>
      </c>
      <c r="D201" s="217">
        <v>1.0</v>
      </c>
      <c r="E201" s="219" t="s">
        <v>157</v>
      </c>
      <c r="F201" s="219" t="s">
        <v>360</v>
      </c>
      <c r="G201" s="214" t="s">
        <v>392</v>
      </c>
      <c r="H201" s="221">
        <v>44215.0</v>
      </c>
      <c r="I201" s="219" t="s">
        <v>657</v>
      </c>
      <c r="J201" s="219" t="s">
        <v>271</v>
      </c>
      <c r="K201" s="219" t="s">
        <v>568</v>
      </c>
      <c r="L201" s="214" t="s">
        <v>438</v>
      </c>
      <c r="M201" s="222">
        <v>2021.0</v>
      </c>
      <c r="N201" s="214" t="s">
        <v>497</v>
      </c>
      <c r="O201" s="223">
        <v>1.0</v>
      </c>
      <c r="P201" s="224">
        <f t="shared" si="1"/>
        <v>0.4237016701</v>
      </c>
      <c r="Q201" s="214" t="str">
        <f t="shared" si="2"/>
        <v>Medium</v>
      </c>
    </row>
    <row r="202" ht="15.75" customHeight="1">
      <c r="A202" s="214" t="s">
        <v>658</v>
      </c>
      <c r="B202" s="216">
        <v>8346.0</v>
      </c>
      <c r="C202" s="216">
        <v>1176.0</v>
      </c>
      <c r="D202" s="217">
        <v>1.0</v>
      </c>
      <c r="E202" s="219" t="s">
        <v>157</v>
      </c>
      <c r="F202" s="219" t="s">
        <v>358</v>
      </c>
      <c r="G202" s="214" t="s">
        <v>405</v>
      </c>
      <c r="H202" s="221">
        <v>44064.0</v>
      </c>
      <c r="I202" s="219" t="s">
        <v>659</v>
      </c>
      <c r="J202" s="219" t="s">
        <v>241</v>
      </c>
      <c r="K202" s="219" t="s">
        <v>541</v>
      </c>
      <c r="L202" s="214" t="s">
        <v>431</v>
      </c>
      <c r="M202" s="222">
        <v>2020.0</v>
      </c>
      <c r="N202" s="214" t="s">
        <v>523</v>
      </c>
      <c r="O202" s="223">
        <v>3.0</v>
      </c>
      <c r="P202" s="224">
        <f t="shared" si="1"/>
        <v>0.1409058231</v>
      </c>
      <c r="Q202" s="214" t="str">
        <f t="shared" si="2"/>
        <v>High</v>
      </c>
    </row>
    <row r="203" ht="15.75" customHeight="1">
      <c r="A203" s="214" t="s">
        <v>658</v>
      </c>
      <c r="B203" s="216">
        <v>8346.0</v>
      </c>
      <c r="C203" s="216">
        <v>1176.0</v>
      </c>
      <c r="D203" s="217">
        <v>1.0</v>
      </c>
      <c r="E203" s="219" t="s">
        <v>157</v>
      </c>
      <c r="F203" s="219" t="s">
        <v>358</v>
      </c>
      <c r="G203" s="214" t="s">
        <v>405</v>
      </c>
      <c r="H203" s="221">
        <v>45033.0</v>
      </c>
      <c r="I203" s="219" t="s">
        <v>660</v>
      </c>
      <c r="J203" s="219" t="s">
        <v>271</v>
      </c>
      <c r="K203" s="219" t="s">
        <v>398</v>
      </c>
      <c r="L203" s="214" t="s">
        <v>468</v>
      </c>
      <c r="M203" s="222">
        <v>2023.0</v>
      </c>
      <c r="N203" s="214" t="s">
        <v>542</v>
      </c>
      <c r="O203" s="223">
        <v>2.0</v>
      </c>
      <c r="P203" s="224">
        <f t="shared" si="1"/>
        <v>0.1409058231</v>
      </c>
      <c r="Q203" s="214" t="str">
        <f t="shared" si="2"/>
        <v>High</v>
      </c>
    </row>
    <row r="204" ht="15.75" customHeight="1">
      <c r="A204" s="214" t="s">
        <v>658</v>
      </c>
      <c r="B204" s="216">
        <v>8346.0</v>
      </c>
      <c r="C204" s="216">
        <v>1176.0</v>
      </c>
      <c r="D204" s="217">
        <v>1.0</v>
      </c>
      <c r="E204" s="219" t="s">
        <v>157</v>
      </c>
      <c r="F204" s="219" t="s">
        <v>358</v>
      </c>
      <c r="G204" s="214" t="s">
        <v>405</v>
      </c>
      <c r="H204" s="221">
        <v>45284.0</v>
      </c>
      <c r="I204" s="219" t="s">
        <v>661</v>
      </c>
      <c r="J204" s="219" t="s">
        <v>117</v>
      </c>
      <c r="K204" s="219" t="s">
        <v>508</v>
      </c>
      <c r="L204" s="214" t="s">
        <v>476</v>
      </c>
      <c r="M204" s="222">
        <v>2023.0</v>
      </c>
      <c r="N204" s="214" t="s">
        <v>400</v>
      </c>
      <c r="O204" s="223">
        <v>4.0</v>
      </c>
      <c r="P204" s="224">
        <f t="shared" si="1"/>
        <v>0.1409058231</v>
      </c>
      <c r="Q204" s="214" t="str">
        <f t="shared" si="2"/>
        <v>High</v>
      </c>
    </row>
    <row r="205" ht="15.75" customHeight="1">
      <c r="A205" s="214" t="s">
        <v>658</v>
      </c>
      <c r="B205" s="216">
        <v>6218.0</v>
      </c>
      <c r="C205" s="216">
        <v>1125.0</v>
      </c>
      <c r="D205" s="217">
        <v>5.0</v>
      </c>
      <c r="E205" s="219" t="s">
        <v>216</v>
      </c>
      <c r="F205" s="219" t="s">
        <v>344</v>
      </c>
      <c r="G205" s="214" t="s">
        <v>351</v>
      </c>
      <c r="H205" s="221">
        <v>44064.0</v>
      </c>
      <c r="I205" s="219" t="s">
        <v>659</v>
      </c>
      <c r="J205" s="219" t="s">
        <v>241</v>
      </c>
      <c r="K205" s="219" t="s">
        <v>541</v>
      </c>
      <c r="L205" s="214" t="s">
        <v>431</v>
      </c>
      <c r="M205" s="222">
        <v>2020.0</v>
      </c>
      <c r="N205" s="214" t="s">
        <v>523</v>
      </c>
      <c r="O205" s="223">
        <v>3.0</v>
      </c>
      <c r="P205" s="224">
        <f t="shared" si="1"/>
        <v>0.1809263429</v>
      </c>
      <c r="Q205" s="214" t="str">
        <f t="shared" si="2"/>
        <v>High</v>
      </c>
    </row>
    <row r="206" ht="15.75" customHeight="1">
      <c r="A206" s="214" t="s">
        <v>658</v>
      </c>
      <c r="B206" s="216">
        <v>6218.0</v>
      </c>
      <c r="C206" s="216">
        <v>1125.0</v>
      </c>
      <c r="D206" s="217">
        <v>5.0</v>
      </c>
      <c r="E206" s="219" t="s">
        <v>216</v>
      </c>
      <c r="F206" s="219" t="s">
        <v>344</v>
      </c>
      <c r="G206" s="214" t="s">
        <v>351</v>
      </c>
      <c r="H206" s="221">
        <v>45033.0</v>
      </c>
      <c r="I206" s="219" t="s">
        <v>660</v>
      </c>
      <c r="J206" s="219" t="s">
        <v>271</v>
      </c>
      <c r="K206" s="219" t="s">
        <v>398</v>
      </c>
      <c r="L206" s="214" t="s">
        <v>468</v>
      </c>
      <c r="M206" s="222">
        <v>2023.0</v>
      </c>
      <c r="N206" s="214" t="s">
        <v>542</v>
      </c>
      <c r="O206" s="223">
        <v>2.0</v>
      </c>
      <c r="P206" s="224">
        <f t="shared" si="1"/>
        <v>0.1809263429</v>
      </c>
      <c r="Q206" s="214" t="str">
        <f t="shared" si="2"/>
        <v>High</v>
      </c>
    </row>
    <row r="207" ht="15.75" customHeight="1">
      <c r="A207" s="214" t="s">
        <v>658</v>
      </c>
      <c r="B207" s="216">
        <v>6218.0</v>
      </c>
      <c r="C207" s="216">
        <v>1125.0</v>
      </c>
      <c r="D207" s="217">
        <v>5.0</v>
      </c>
      <c r="E207" s="219" t="s">
        <v>216</v>
      </c>
      <c r="F207" s="219" t="s">
        <v>344</v>
      </c>
      <c r="G207" s="214" t="s">
        <v>351</v>
      </c>
      <c r="H207" s="221">
        <v>45284.0</v>
      </c>
      <c r="I207" s="219" t="s">
        <v>661</v>
      </c>
      <c r="J207" s="219" t="s">
        <v>117</v>
      </c>
      <c r="K207" s="219" t="s">
        <v>508</v>
      </c>
      <c r="L207" s="214" t="s">
        <v>476</v>
      </c>
      <c r="M207" s="222">
        <v>2023.0</v>
      </c>
      <c r="N207" s="214" t="s">
        <v>400</v>
      </c>
      <c r="O207" s="223">
        <v>4.0</v>
      </c>
      <c r="P207" s="224">
        <f t="shared" si="1"/>
        <v>0.1809263429</v>
      </c>
      <c r="Q207" s="214" t="str">
        <f t="shared" si="2"/>
        <v>High</v>
      </c>
    </row>
    <row r="208" ht="15.75" customHeight="1">
      <c r="A208" s="214" t="s">
        <v>658</v>
      </c>
      <c r="B208" s="216">
        <v>5167.0</v>
      </c>
      <c r="C208" s="216">
        <v>253.0</v>
      </c>
      <c r="D208" s="217">
        <v>14.0</v>
      </c>
      <c r="E208" s="219" t="s">
        <v>157</v>
      </c>
      <c r="F208" s="219" t="s">
        <v>354</v>
      </c>
      <c r="G208" s="214" t="s">
        <v>350</v>
      </c>
      <c r="H208" s="221">
        <v>44064.0</v>
      </c>
      <c r="I208" s="219" t="s">
        <v>659</v>
      </c>
      <c r="J208" s="219" t="s">
        <v>241</v>
      </c>
      <c r="K208" s="219" t="s">
        <v>541</v>
      </c>
      <c r="L208" s="214" t="s">
        <v>431</v>
      </c>
      <c r="M208" s="222">
        <v>2020.0</v>
      </c>
      <c r="N208" s="214" t="s">
        <v>523</v>
      </c>
      <c r="O208" s="223">
        <v>3.0</v>
      </c>
      <c r="P208" s="224">
        <f t="shared" si="1"/>
        <v>0.04896458293</v>
      </c>
      <c r="Q208" s="214" t="str">
        <f t="shared" si="2"/>
        <v>High</v>
      </c>
    </row>
    <row r="209" ht="15.75" customHeight="1">
      <c r="A209" s="214" t="s">
        <v>658</v>
      </c>
      <c r="B209" s="216">
        <v>5167.0</v>
      </c>
      <c r="C209" s="216">
        <v>253.0</v>
      </c>
      <c r="D209" s="217">
        <v>14.0</v>
      </c>
      <c r="E209" s="219" t="s">
        <v>157</v>
      </c>
      <c r="F209" s="219" t="s">
        <v>354</v>
      </c>
      <c r="G209" s="214" t="s">
        <v>350</v>
      </c>
      <c r="H209" s="221">
        <v>45033.0</v>
      </c>
      <c r="I209" s="219" t="s">
        <v>660</v>
      </c>
      <c r="J209" s="219" t="s">
        <v>271</v>
      </c>
      <c r="K209" s="219" t="s">
        <v>398</v>
      </c>
      <c r="L209" s="214" t="s">
        <v>468</v>
      </c>
      <c r="M209" s="222">
        <v>2023.0</v>
      </c>
      <c r="N209" s="214" t="s">
        <v>542</v>
      </c>
      <c r="O209" s="223">
        <v>2.0</v>
      </c>
      <c r="P209" s="224">
        <f t="shared" si="1"/>
        <v>0.04896458293</v>
      </c>
      <c r="Q209" s="214" t="str">
        <f t="shared" si="2"/>
        <v>High</v>
      </c>
    </row>
    <row r="210" ht="15.75" customHeight="1">
      <c r="A210" s="214" t="s">
        <v>658</v>
      </c>
      <c r="B210" s="216">
        <v>5167.0</v>
      </c>
      <c r="C210" s="216">
        <v>253.0</v>
      </c>
      <c r="D210" s="217">
        <v>14.0</v>
      </c>
      <c r="E210" s="219" t="s">
        <v>157</v>
      </c>
      <c r="F210" s="219" t="s">
        <v>354</v>
      </c>
      <c r="G210" s="214" t="s">
        <v>350</v>
      </c>
      <c r="H210" s="221">
        <v>45284.0</v>
      </c>
      <c r="I210" s="219" t="s">
        <v>661</v>
      </c>
      <c r="J210" s="219" t="s">
        <v>117</v>
      </c>
      <c r="K210" s="219" t="s">
        <v>508</v>
      </c>
      <c r="L210" s="214" t="s">
        <v>476</v>
      </c>
      <c r="M210" s="222">
        <v>2023.0</v>
      </c>
      <c r="N210" s="214" t="s">
        <v>400</v>
      </c>
      <c r="O210" s="223">
        <v>4.0</v>
      </c>
      <c r="P210" s="224">
        <f t="shared" si="1"/>
        <v>0.04896458293</v>
      </c>
      <c r="Q210" s="214" t="str">
        <f t="shared" si="2"/>
        <v>High</v>
      </c>
    </row>
    <row r="211" ht="15.75" customHeight="1">
      <c r="A211" s="214" t="s">
        <v>658</v>
      </c>
      <c r="B211" s="216">
        <v>2799.0</v>
      </c>
      <c r="C211" s="216">
        <v>1239.0</v>
      </c>
      <c r="D211" s="217">
        <v>5.0</v>
      </c>
      <c r="E211" s="219" t="s">
        <v>216</v>
      </c>
      <c r="F211" s="219" t="s">
        <v>347</v>
      </c>
      <c r="G211" s="214" t="s">
        <v>351</v>
      </c>
      <c r="H211" s="221">
        <v>44064.0</v>
      </c>
      <c r="I211" s="219" t="s">
        <v>659</v>
      </c>
      <c r="J211" s="219" t="s">
        <v>241</v>
      </c>
      <c r="K211" s="219" t="s">
        <v>541</v>
      </c>
      <c r="L211" s="214" t="s">
        <v>431</v>
      </c>
      <c r="M211" s="222">
        <v>2020.0</v>
      </c>
      <c r="N211" s="214" t="s">
        <v>523</v>
      </c>
      <c r="O211" s="223">
        <v>3.0</v>
      </c>
      <c r="P211" s="224">
        <f t="shared" si="1"/>
        <v>0.4426580922</v>
      </c>
      <c r="Q211" s="214" t="str">
        <f t="shared" si="2"/>
        <v>Medium</v>
      </c>
    </row>
    <row r="212" ht="15.75" customHeight="1">
      <c r="A212" s="214" t="s">
        <v>658</v>
      </c>
      <c r="B212" s="216">
        <v>2799.0</v>
      </c>
      <c r="C212" s="216">
        <v>1239.0</v>
      </c>
      <c r="D212" s="217">
        <v>5.0</v>
      </c>
      <c r="E212" s="219" t="s">
        <v>216</v>
      </c>
      <c r="F212" s="219" t="s">
        <v>347</v>
      </c>
      <c r="G212" s="214" t="s">
        <v>351</v>
      </c>
      <c r="H212" s="221">
        <v>45033.0</v>
      </c>
      <c r="I212" s="219" t="s">
        <v>660</v>
      </c>
      <c r="J212" s="219" t="s">
        <v>271</v>
      </c>
      <c r="K212" s="219" t="s">
        <v>398</v>
      </c>
      <c r="L212" s="214" t="s">
        <v>468</v>
      </c>
      <c r="M212" s="222">
        <v>2023.0</v>
      </c>
      <c r="N212" s="214" t="s">
        <v>542</v>
      </c>
      <c r="O212" s="223">
        <v>2.0</v>
      </c>
      <c r="P212" s="224">
        <f t="shared" si="1"/>
        <v>0.4426580922</v>
      </c>
      <c r="Q212" s="214" t="str">
        <f t="shared" si="2"/>
        <v>Medium</v>
      </c>
    </row>
    <row r="213" ht="15.75" customHeight="1">
      <c r="A213" s="214" t="s">
        <v>658</v>
      </c>
      <c r="B213" s="216">
        <v>2799.0</v>
      </c>
      <c r="C213" s="216">
        <v>1239.0</v>
      </c>
      <c r="D213" s="217">
        <v>5.0</v>
      </c>
      <c r="E213" s="219" t="s">
        <v>216</v>
      </c>
      <c r="F213" s="219" t="s">
        <v>347</v>
      </c>
      <c r="G213" s="214" t="s">
        <v>351</v>
      </c>
      <c r="H213" s="221">
        <v>45284.0</v>
      </c>
      <c r="I213" s="219" t="s">
        <v>661</v>
      </c>
      <c r="J213" s="219" t="s">
        <v>117</v>
      </c>
      <c r="K213" s="219" t="s">
        <v>508</v>
      </c>
      <c r="L213" s="214" t="s">
        <v>476</v>
      </c>
      <c r="M213" s="222">
        <v>2023.0</v>
      </c>
      <c r="N213" s="214" t="s">
        <v>400</v>
      </c>
      <c r="O213" s="223">
        <v>4.0</v>
      </c>
      <c r="P213" s="224">
        <f t="shared" si="1"/>
        <v>0.4426580922</v>
      </c>
      <c r="Q213" s="214" t="str">
        <f t="shared" si="2"/>
        <v>Medium</v>
      </c>
    </row>
    <row r="214" ht="15.75" customHeight="1">
      <c r="A214" s="214" t="s">
        <v>662</v>
      </c>
      <c r="B214" s="216">
        <v>3234.0</v>
      </c>
      <c r="C214" s="216">
        <v>1029.0</v>
      </c>
      <c r="D214" s="217">
        <v>20.0</v>
      </c>
      <c r="E214" s="219" t="s">
        <v>242</v>
      </c>
      <c r="F214" s="219" t="s">
        <v>317</v>
      </c>
      <c r="G214" s="214" t="s">
        <v>350</v>
      </c>
      <c r="H214" s="221">
        <v>44640.0</v>
      </c>
      <c r="I214" s="219" t="s">
        <v>663</v>
      </c>
      <c r="J214" s="219" t="s">
        <v>159</v>
      </c>
      <c r="K214" s="219" t="s">
        <v>394</v>
      </c>
      <c r="L214" s="214" t="s">
        <v>455</v>
      </c>
      <c r="M214" s="222">
        <v>2022.0</v>
      </c>
      <c r="N214" s="214" t="s">
        <v>433</v>
      </c>
      <c r="O214" s="223">
        <v>1.0</v>
      </c>
      <c r="P214" s="224">
        <f t="shared" si="1"/>
        <v>0.3181818182</v>
      </c>
      <c r="Q214" s="214" t="str">
        <f t="shared" si="2"/>
        <v>Medium</v>
      </c>
    </row>
    <row r="215" ht="15.75" customHeight="1">
      <c r="A215" s="214" t="s">
        <v>664</v>
      </c>
      <c r="B215" s="216">
        <v>4920.0</v>
      </c>
      <c r="C215" s="216">
        <v>775.0</v>
      </c>
      <c r="D215" s="217">
        <v>12.0</v>
      </c>
      <c r="E215" s="219" t="s">
        <v>216</v>
      </c>
      <c r="F215" s="219" t="s">
        <v>344</v>
      </c>
      <c r="G215" s="214" t="s">
        <v>351</v>
      </c>
      <c r="H215" s="221">
        <v>44420.0</v>
      </c>
      <c r="I215" s="219" t="s">
        <v>665</v>
      </c>
      <c r="J215" s="219" t="s">
        <v>271</v>
      </c>
      <c r="K215" s="219" t="s">
        <v>449</v>
      </c>
      <c r="L215" s="214" t="s">
        <v>445</v>
      </c>
      <c r="M215" s="222">
        <v>2021.0</v>
      </c>
      <c r="N215" s="214" t="s">
        <v>523</v>
      </c>
      <c r="O215" s="223">
        <v>3.0</v>
      </c>
      <c r="P215" s="224">
        <f t="shared" si="1"/>
        <v>0.1575203252</v>
      </c>
      <c r="Q215" s="214" t="str">
        <f t="shared" si="2"/>
        <v>Medium</v>
      </c>
    </row>
    <row r="216" ht="15.75" customHeight="1">
      <c r="A216" s="214" t="s">
        <v>664</v>
      </c>
      <c r="B216" s="216">
        <v>9078.0</v>
      </c>
      <c r="C216" s="216">
        <v>2213.0</v>
      </c>
      <c r="D216" s="217">
        <v>15.0</v>
      </c>
      <c r="E216" s="219" t="s">
        <v>216</v>
      </c>
      <c r="F216" s="219" t="s">
        <v>361</v>
      </c>
      <c r="G216" s="214" t="s">
        <v>406</v>
      </c>
      <c r="H216" s="221">
        <v>44420.0</v>
      </c>
      <c r="I216" s="219" t="s">
        <v>665</v>
      </c>
      <c r="J216" s="219" t="s">
        <v>271</v>
      </c>
      <c r="K216" s="219" t="s">
        <v>449</v>
      </c>
      <c r="L216" s="214" t="s">
        <v>445</v>
      </c>
      <c r="M216" s="222">
        <v>2021.0</v>
      </c>
      <c r="N216" s="214" t="s">
        <v>523</v>
      </c>
      <c r="O216" s="223">
        <v>3.0</v>
      </c>
      <c r="P216" s="224">
        <f t="shared" si="1"/>
        <v>0.2437761622</v>
      </c>
      <c r="Q216" s="214" t="str">
        <f t="shared" si="2"/>
        <v>High</v>
      </c>
    </row>
    <row r="217" ht="15.75" customHeight="1">
      <c r="A217" s="214" t="s">
        <v>666</v>
      </c>
      <c r="B217" s="216">
        <v>8586.0</v>
      </c>
      <c r="C217" s="216">
        <v>3826.0</v>
      </c>
      <c r="D217" s="217">
        <v>7.0</v>
      </c>
      <c r="E217" s="219" t="s">
        <v>216</v>
      </c>
      <c r="F217" s="219" t="s">
        <v>361</v>
      </c>
      <c r="G217" s="214" t="s">
        <v>392</v>
      </c>
      <c r="H217" s="221">
        <v>44186.0</v>
      </c>
      <c r="I217" s="219" t="s">
        <v>667</v>
      </c>
      <c r="J217" s="219" t="s">
        <v>159</v>
      </c>
      <c r="K217" s="219" t="s">
        <v>394</v>
      </c>
      <c r="L217" s="214" t="s">
        <v>437</v>
      </c>
      <c r="M217" s="222">
        <v>2020.0</v>
      </c>
      <c r="N217" s="214" t="s">
        <v>400</v>
      </c>
      <c r="O217" s="223">
        <v>4.0</v>
      </c>
      <c r="P217" s="224">
        <f t="shared" si="1"/>
        <v>0.4456091311</v>
      </c>
      <c r="Q217" s="214" t="str">
        <f t="shared" si="2"/>
        <v>High</v>
      </c>
    </row>
    <row r="218" ht="15.75" customHeight="1">
      <c r="A218" s="214" t="s">
        <v>666</v>
      </c>
      <c r="B218" s="216">
        <v>8586.0</v>
      </c>
      <c r="C218" s="216">
        <v>3826.0</v>
      </c>
      <c r="D218" s="217">
        <v>7.0</v>
      </c>
      <c r="E218" s="219" t="s">
        <v>216</v>
      </c>
      <c r="F218" s="219" t="s">
        <v>361</v>
      </c>
      <c r="G218" s="214" t="s">
        <v>392</v>
      </c>
      <c r="H218" s="221">
        <v>45114.0</v>
      </c>
      <c r="I218" s="219" t="s">
        <v>668</v>
      </c>
      <c r="J218" s="219" t="s">
        <v>159</v>
      </c>
      <c r="K218" s="219" t="s">
        <v>552</v>
      </c>
      <c r="L218" s="214" t="s">
        <v>471</v>
      </c>
      <c r="M218" s="222">
        <v>2023.0</v>
      </c>
      <c r="N218" s="214" t="s">
        <v>404</v>
      </c>
      <c r="O218" s="223">
        <v>3.0</v>
      </c>
      <c r="P218" s="224">
        <f t="shared" si="1"/>
        <v>0.4456091311</v>
      </c>
      <c r="Q218" s="214" t="str">
        <f t="shared" si="2"/>
        <v>High</v>
      </c>
    </row>
    <row r="219" ht="15.75" customHeight="1">
      <c r="A219" s="214" t="s">
        <v>669</v>
      </c>
      <c r="B219" s="216">
        <v>5047.0</v>
      </c>
      <c r="C219" s="216">
        <v>2211.0</v>
      </c>
      <c r="D219" s="217">
        <v>13.0</v>
      </c>
      <c r="E219" s="219" t="s">
        <v>216</v>
      </c>
      <c r="F219" s="219" t="s">
        <v>347</v>
      </c>
      <c r="G219" s="214" t="s">
        <v>406</v>
      </c>
      <c r="H219" s="221">
        <v>45151.0</v>
      </c>
      <c r="I219" s="219" t="s">
        <v>670</v>
      </c>
      <c r="J219" s="219" t="s">
        <v>117</v>
      </c>
      <c r="K219" s="219" t="s">
        <v>508</v>
      </c>
      <c r="L219" s="214" t="s">
        <v>472</v>
      </c>
      <c r="M219" s="222">
        <v>2023.0</v>
      </c>
      <c r="N219" s="214" t="s">
        <v>523</v>
      </c>
      <c r="O219" s="223">
        <v>3.0</v>
      </c>
      <c r="P219" s="224">
        <f t="shared" si="1"/>
        <v>0.4380820289</v>
      </c>
      <c r="Q219" s="214" t="str">
        <f t="shared" si="2"/>
        <v>High</v>
      </c>
    </row>
    <row r="220" ht="15.75" customHeight="1">
      <c r="A220" s="214" t="s">
        <v>669</v>
      </c>
      <c r="B220" s="216">
        <v>5047.0</v>
      </c>
      <c r="C220" s="216">
        <v>2211.0</v>
      </c>
      <c r="D220" s="217">
        <v>13.0</v>
      </c>
      <c r="E220" s="219" t="s">
        <v>216</v>
      </c>
      <c r="F220" s="219" t="s">
        <v>347</v>
      </c>
      <c r="G220" s="214" t="s">
        <v>406</v>
      </c>
      <c r="H220" s="221">
        <v>44231.0</v>
      </c>
      <c r="I220" s="219" t="s">
        <v>671</v>
      </c>
      <c r="J220" s="219" t="s">
        <v>271</v>
      </c>
      <c r="K220" s="219" t="s">
        <v>398</v>
      </c>
      <c r="L220" s="214" t="s">
        <v>439</v>
      </c>
      <c r="M220" s="222">
        <v>2021.0</v>
      </c>
      <c r="N220" s="214" t="s">
        <v>494</v>
      </c>
      <c r="O220" s="223">
        <v>1.0</v>
      </c>
      <c r="P220" s="224">
        <f t="shared" si="1"/>
        <v>0.4380820289</v>
      </c>
      <c r="Q220" s="214" t="str">
        <f t="shared" si="2"/>
        <v>High</v>
      </c>
    </row>
    <row r="221" ht="15.75" customHeight="1">
      <c r="A221" s="214" t="s">
        <v>669</v>
      </c>
      <c r="B221" s="216">
        <v>5047.0</v>
      </c>
      <c r="C221" s="216">
        <v>2211.0</v>
      </c>
      <c r="D221" s="217">
        <v>13.0</v>
      </c>
      <c r="E221" s="219" t="s">
        <v>216</v>
      </c>
      <c r="F221" s="219" t="s">
        <v>347</v>
      </c>
      <c r="G221" s="214" t="s">
        <v>406</v>
      </c>
      <c r="H221" s="221">
        <v>44820.0</v>
      </c>
      <c r="I221" s="219" t="s">
        <v>672</v>
      </c>
      <c r="J221" s="219" t="s">
        <v>271</v>
      </c>
      <c r="K221" s="219" t="s">
        <v>568</v>
      </c>
      <c r="L221" s="214" t="s">
        <v>462</v>
      </c>
      <c r="M221" s="222">
        <v>2022.0</v>
      </c>
      <c r="N221" s="214" t="s">
        <v>536</v>
      </c>
      <c r="O221" s="223">
        <v>3.0</v>
      </c>
      <c r="P221" s="224">
        <f t="shared" si="1"/>
        <v>0.4380820289</v>
      </c>
      <c r="Q221" s="214" t="str">
        <f t="shared" si="2"/>
        <v>High</v>
      </c>
    </row>
    <row r="222" ht="15.75" customHeight="1">
      <c r="A222" s="214" t="s">
        <v>669</v>
      </c>
      <c r="B222" s="216">
        <v>5047.0</v>
      </c>
      <c r="C222" s="216">
        <v>2211.0</v>
      </c>
      <c r="D222" s="217">
        <v>13.0</v>
      </c>
      <c r="E222" s="219" t="s">
        <v>216</v>
      </c>
      <c r="F222" s="219" t="s">
        <v>347</v>
      </c>
      <c r="G222" s="214" t="s">
        <v>406</v>
      </c>
      <c r="H222" s="221">
        <v>44687.0</v>
      </c>
      <c r="I222" s="219" t="s">
        <v>673</v>
      </c>
      <c r="J222" s="219" t="s">
        <v>223</v>
      </c>
      <c r="K222" s="219" t="s">
        <v>402</v>
      </c>
      <c r="L222" s="214" t="s">
        <v>457</v>
      </c>
      <c r="M222" s="222">
        <v>2022.0</v>
      </c>
      <c r="N222" s="214" t="s">
        <v>411</v>
      </c>
      <c r="O222" s="223">
        <v>2.0</v>
      </c>
      <c r="P222" s="224">
        <f t="shared" si="1"/>
        <v>0.4380820289</v>
      </c>
      <c r="Q222" s="214" t="str">
        <f t="shared" si="2"/>
        <v>High</v>
      </c>
    </row>
    <row r="223" ht="15.75" customHeight="1">
      <c r="A223" s="214" t="s">
        <v>674</v>
      </c>
      <c r="B223" s="216">
        <v>3657.0</v>
      </c>
      <c r="C223" s="216">
        <v>163.0</v>
      </c>
      <c r="D223" s="217">
        <v>1.0</v>
      </c>
      <c r="E223" s="219" t="s">
        <v>216</v>
      </c>
      <c r="F223" s="219" t="s">
        <v>347</v>
      </c>
      <c r="G223" s="214" t="s">
        <v>392</v>
      </c>
      <c r="H223" s="221">
        <v>44344.0</v>
      </c>
      <c r="I223" s="219" t="s">
        <v>675</v>
      </c>
      <c r="J223" s="219" t="s">
        <v>117</v>
      </c>
      <c r="K223" s="219" t="s">
        <v>508</v>
      </c>
      <c r="L223" s="214" t="s">
        <v>443</v>
      </c>
      <c r="M223" s="222">
        <v>2021.0</v>
      </c>
      <c r="N223" s="214" t="s">
        <v>411</v>
      </c>
      <c r="O223" s="223">
        <v>2.0</v>
      </c>
      <c r="P223" s="224">
        <f t="shared" si="1"/>
        <v>0.0445720536</v>
      </c>
      <c r="Q223" s="214" t="str">
        <f t="shared" si="2"/>
        <v>Medium</v>
      </c>
    </row>
    <row r="224" ht="15.75" customHeight="1">
      <c r="A224" s="214" t="s">
        <v>676</v>
      </c>
      <c r="B224" s="216">
        <v>6471.0</v>
      </c>
      <c r="C224" s="216">
        <v>2842.0</v>
      </c>
      <c r="D224" s="217">
        <v>18.0</v>
      </c>
      <c r="E224" s="219" t="s">
        <v>157</v>
      </c>
      <c r="F224" s="219" t="s">
        <v>355</v>
      </c>
      <c r="G224" s="214" t="s">
        <v>392</v>
      </c>
      <c r="H224" s="221">
        <v>45491.0</v>
      </c>
      <c r="I224" s="219" t="s">
        <v>677</v>
      </c>
      <c r="J224" s="219" t="s">
        <v>271</v>
      </c>
      <c r="K224" s="219" t="s">
        <v>568</v>
      </c>
      <c r="L224" s="214" t="s">
        <v>482</v>
      </c>
      <c r="M224" s="222">
        <v>2024.0</v>
      </c>
      <c r="N224" s="214" t="s">
        <v>404</v>
      </c>
      <c r="O224" s="223">
        <v>3.0</v>
      </c>
      <c r="P224" s="224">
        <f t="shared" si="1"/>
        <v>0.4391902333</v>
      </c>
      <c r="Q224" s="214" t="str">
        <f t="shared" si="2"/>
        <v>High</v>
      </c>
    </row>
    <row r="225" ht="15.75" customHeight="1">
      <c r="A225" s="214" t="s">
        <v>678</v>
      </c>
      <c r="B225" s="216">
        <v>949.0</v>
      </c>
      <c r="C225" s="216">
        <v>301.0</v>
      </c>
      <c r="D225" s="217">
        <v>9.0</v>
      </c>
      <c r="E225" s="219" t="s">
        <v>242</v>
      </c>
      <c r="F225" s="219" t="s">
        <v>362</v>
      </c>
      <c r="G225" s="214" t="s">
        <v>392</v>
      </c>
      <c r="H225" s="221">
        <v>45632.0</v>
      </c>
      <c r="I225" s="219" t="s">
        <v>679</v>
      </c>
      <c r="J225" s="219" t="s">
        <v>313</v>
      </c>
      <c r="K225" s="219" t="s">
        <v>526</v>
      </c>
      <c r="L225" s="214" t="s">
        <v>399</v>
      </c>
      <c r="M225" s="222">
        <v>2024.0</v>
      </c>
      <c r="N225" s="214" t="s">
        <v>400</v>
      </c>
      <c r="O225" s="223">
        <v>4.0</v>
      </c>
      <c r="P225" s="224">
        <f t="shared" si="1"/>
        <v>0.3171759747</v>
      </c>
      <c r="Q225" s="214" t="str">
        <f t="shared" si="2"/>
        <v>Medium</v>
      </c>
    </row>
    <row r="226" ht="15.75" customHeight="1">
      <c r="A226" s="214" t="s">
        <v>678</v>
      </c>
      <c r="B226" s="216">
        <v>6823.0</v>
      </c>
      <c r="C226" s="216">
        <v>771.0</v>
      </c>
      <c r="D226" s="217">
        <v>6.0</v>
      </c>
      <c r="E226" s="219" t="s">
        <v>242</v>
      </c>
      <c r="F226" s="219" t="s">
        <v>362</v>
      </c>
      <c r="G226" s="214" t="s">
        <v>406</v>
      </c>
      <c r="H226" s="221">
        <v>45632.0</v>
      </c>
      <c r="I226" s="219" t="s">
        <v>679</v>
      </c>
      <c r="J226" s="219" t="s">
        <v>313</v>
      </c>
      <c r="K226" s="219" t="s">
        <v>526</v>
      </c>
      <c r="L226" s="214" t="s">
        <v>399</v>
      </c>
      <c r="M226" s="222">
        <v>2024.0</v>
      </c>
      <c r="N226" s="214" t="s">
        <v>400</v>
      </c>
      <c r="O226" s="223">
        <v>4.0</v>
      </c>
      <c r="P226" s="224">
        <f t="shared" si="1"/>
        <v>0.1130001466</v>
      </c>
      <c r="Q226" s="214" t="str">
        <f t="shared" si="2"/>
        <v>High</v>
      </c>
    </row>
    <row r="227" ht="15.75" customHeight="1">
      <c r="A227" s="214" t="s">
        <v>678</v>
      </c>
      <c r="B227" s="216">
        <v>4364.0</v>
      </c>
      <c r="C227" s="216">
        <v>831.0</v>
      </c>
      <c r="D227" s="217">
        <v>2.0</v>
      </c>
      <c r="E227" s="219" t="s">
        <v>216</v>
      </c>
      <c r="F227" s="219" t="s">
        <v>344</v>
      </c>
      <c r="G227" s="214" t="s">
        <v>406</v>
      </c>
      <c r="H227" s="221">
        <v>45632.0</v>
      </c>
      <c r="I227" s="219" t="s">
        <v>679</v>
      </c>
      <c r="J227" s="219" t="s">
        <v>313</v>
      </c>
      <c r="K227" s="219" t="s">
        <v>526</v>
      </c>
      <c r="L227" s="214" t="s">
        <v>399</v>
      </c>
      <c r="M227" s="222">
        <v>2024.0</v>
      </c>
      <c r="N227" s="214" t="s">
        <v>400</v>
      </c>
      <c r="O227" s="223">
        <v>4.0</v>
      </c>
      <c r="P227" s="224">
        <f t="shared" si="1"/>
        <v>0.1904216315</v>
      </c>
      <c r="Q227" s="214" t="str">
        <f t="shared" si="2"/>
        <v>Medium</v>
      </c>
    </row>
    <row r="228" ht="15.75" customHeight="1">
      <c r="A228" s="214" t="s">
        <v>680</v>
      </c>
      <c r="B228" s="216">
        <v>6671.0</v>
      </c>
      <c r="C228" s="216">
        <v>2797.0</v>
      </c>
      <c r="D228" s="217">
        <v>10.0</v>
      </c>
      <c r="E228" s="219" t="s">
        <v>157</v>
      </c>
      <c r="F228" s="219" t="s">
        <v>358</v>
      </c>
      <c r="G228" s="214" t="s">
        <v>392</v>
      </c>
      <c r="H228" s="221">
        <v>44907.0</v>
      </c>
      <c r="I228" s="219" t="s">
        <v>681</v>
      </c>
      <c r="J228" s="219" t="s">
        <v>271</v>
      </c>
      <c r="K228" s="219" t="s">
        <v>568</v>
      </c>
      <c r="L228" s="214" t="s">
        <v>464</v>
      </c>
      <c r="M228" s="222">
        <v>2022.0</v>
      </c>
      <c r="N228" s="214" t="s">
        <v>400</v>
      </c>
      <c r="O228" s="223">
        <v>4.0</v>
      </c>
      <c r="P228" s="224">
        <f t="shared" si="1"/>
        <v>0.4192774696</v>
      </c>
      <c r="Q228" s="214" t="str">
        <f t="shared" si="2"/>
        <v>High</v>
      </c>
    </row>
    <row r="229" ht="15.75" customHeight="1">
      <c r="A229" s="214" t="s">
        <v>682</v>
      </c>
      <c r="B229" s="216">
        <v>7472.0</v>
      </c>
      <c r="C229" s="216">
        <v>1037.0</v>
      </c>
      <c r="D229" s="217">
        <v>3.0</v>
      </c>
      <c r="E229" s="219" t="s">
        <v>242</v>
      </c>
      <c r="F229" s="219" t="s">
        <v>357</v>
      </c>
      <c r="G229" s="214" t="s">
        <v>405</v>
      </c>
      <c r="H229" s="221">
        <v>44854.0</v>
      </c>
      <c r="I229" s="219" t="s">
        <v>683</v>
      </c>
      <c r="J229" s="219" t="s">
        <v>271</v>
      </c>
      <c r="K229" s="219" t="s">
        <v>449</v>
      </c>
      <c r="L229" s="214" t="s">
        <v>463</v>
      </c>
      <c r="M229" s="222">
        <v>2022.0</v>
      </c>
      <c r="N229" s="214" t="s">
        <v>414</v>
      </c>
      <c r="O229" s="223">
        <v>4.0</v>
      </c>
      <c r="P229" s="224">
        <f t="shared" si="1"/>
        <v>0.1387847966</v>
      </c>
      <c r="Q229" s="214" t="str">
        <f t="shared" si="2"/>
        <v>High</v>
      </c>
    </row>
    <row r="230" ht="15.75" customHeight="1">
      <c r="A230" s="214" t="s">
        <v>682</v>
      </c>
      <c r="B230" s="216">
        <v>9548.0</v>
      </c>
      <c r="C230" s="216">
        <v>1806.0</v>
      </c>
      <c r="D230" s="217">
        <v>9.0</v>
      </c>
      <c r="E230" s="219" t="s">
        <v>157</v>
      </c>
      <c r="F230" s="219" t="s">
        <v>354</v>
      </c>
      <c r="G230" s="214" t="s">
        <v>405</v>
      </c>
      <c r="H230" s="221">
        <v>44854.0</v>
      </c>
      <c r="I230" s="219" t="s">
        <v>683</v>
      </c>
      <c r="J230" s="219" t="s">
        <v>271</v>
      </c>
      <c r="K230" s="219" t="s">
        <v>449</v>
      </c>
      <c r="L230" s="214" t="s">
        <v>463</v>
      </c>
      <c r="M230" s="222">
        <v>2022.0</v>
      </c>
      <c r="N230" s="214" t="s">
        <v>414</v>
      </c>
      <c r="O230" s="223">
        <v>4.0</v>
      </c>
      <c r="P230" s="224">
        <f t="shared" si="1"/>
        <v>0.1891495601</v>
      </c>
      <c r="Q230" s="214" t="str">
        <f t="shared" si="2"/>
        <v>High</v>
      </c>
    </row>
    <row r="231" ht="15.75" customHeight="1">
      <c r="A231" s="214" t="s">
        <v>684</v>
      </c>
      <c r="B231" s="216">
        <v>7759.0</v>
      </c>
      <c r="C231" s="216">
        <v>3741.0</v>
      </c>
      <c r="D231" s="217">
        <v>17.0</v>
      </c>
      <c r="E231" s="219" t="s">
        <v>157</v>
      </c>
      <c r="F231" s="219" t="s">
        <v>354</v>
      </c>
      <c r="G231" s="214" t="s">
        <v>392</v>
      </c>
      <c r="H231" s="221">
        <v>44279.0</v>
      </c>
      <c r="I231" s="219" t="s">
        <v>685</v>
      </c>
      <c r="J231" s="219" t="s">
        <v>159</v>
      </c>
      <c r="K231" s="219" t="s">
        <v>394</v>
      </c>
      <c r="L231" s="214" t="s">
        <v>440</v>
      </c>
      <c r="M231" s="222">
        <v>2021.0</v>
      </c>
      <c r="N231" s="214" t="s">
        <v>433</v>
      </c>
      <c r="O231" s="223">
        <v>1.0</v>
      </c>
      <c r="P231" s="224">
        <f t="shared" si="1"/>
        <v>0.4821497616</v>
      </c>
      <c r="Q231" s="214" t="str">
        <f t="shared" si="2"/>
        <v>High</v>
      </c>
    </row>
    <row r="232" ht="15.75" customHeight="1">
      <c r="A232" s="214" t="s">
        <v>684</v>
      </c>
      <c r="B232" s="216">
        <v>7759.0</v>
      </c>
      <c r="C232" s="216">
        <v>3741.0</v>
      </c>
      <c r="D232" s="217">
        <v>17.0</v>
      </c>
      <c r="E232" s="219" t="s">
        <v>157</v>
      </c>
      <c r="F232" s="219" t="s">
        <v>354</v>
      </c>
      <c r="G232" s="214" t="s">
        <v>392</v>
      </c>
      <c r="H232" s="221">
        <v>45663.0</v>
      </c>
      <c r="I232" s="219" t="s">
        <v>686</v>
      </c>
      <c r="J232" s="219" t="s">
        <v>241</v>
      </c>
      <c r="K232" s="219" t="s">
        <v>493</v>
      </c>
      <c r="L232" s="214" t="s">
        <v>487</v>
      </c>
      <c r="M232" s="222">
        <v>2025.0</v>
      </c>
      <c r="N232" s="214" t="s">
        <v>497</v>
      </c>
      <c r="O232" s="223">
        <v>1.0</v>
      </c>
      <c r="P232" s="224">
        <f t="shared" si="1"/>
        <v>0.4821497616</v>
      </c>
      <c r="Q232" s="214" t="str">
        <f t="shared" si="2"/>
        <v>High</v>
      </c>
    </row>
    <row r="233" ht="15.75" customHeight="1">
      <c r="A233" s="214" t="s">
        <v>684</v>
      </c>
      <c r="B233" s="216">
        <v>7521.0</v>
      </c>
      <c r="C233" s="216">
        <v>3457.0</v>
      </c>
      <c r="D233" s="217">
        <v>16.0</v>
      </c>
      <c r="E233" s="219" t="s">
        <v>242</v>
      </c>
      <c r="F233" s="219" t="s">
        <v>317</v>
      </c>
      <c r="G233" s="214" t="s">
        <v>351</v>
      </c>
      <c r="H233" s="221">
        <v>44279.0</v>
      </c>
      <c r="I233" s="219" t="s">
        <v>685</v>
      </c>
      <c r="J233" s="219" t="s">
        <v>159</v>
      </c>
      <c r="K233" s="219" t="s">
        <v>394</v>
      </c>
      <c r="L233" s="214" t="s">
        <v>440</v>
      </c>
      <c r="M233" s="222">
        <v>2021.0</v>
      </c>
      <c r="N233" s="214" t="s">
        <v>433</v>
      </c>
      <c r="O233" s="223">
        <v>1.0</v>
      </c>
      <c r="P233" s="224">
        <f t="shared" si="1"/>
        <v>0.4596463236</v>
      </c>
      <c r="Q233" s="214" t="str">
        <f t="shared" si="2"/>
        <v>High</v>
      </c>
    </row>
    <row r="234" ht="15.75" customHeight="1">
      <c r="A234" s="214" t="s">
        <v>684</v>
      </c>
      <c r="B234" s="216">
        <v>7521.0</v>
      </c>
      <c r="C234" s="216">
        <v>3457.0</v>
      </c>
      <c r="D234" s="217">
        <v>16.0</v>
      </c>
      <c r="E234" s="219" t="s">
        <v>242</v>
      </c>
      <c r="F234" s="219" t="s">
        <v>317</v>
      </c>
      <c r="G234" s="214" t="s">
        <v>351</v>
      </c>
      <c r="H234" s="221">
        <v>45663.0</v>
      </c>
      <c r="I234" s="219" t="s">
        <v>686</v>
      </c>
      <c r="J234" s="219" t="s">
        <v>241</v>
      </c>
      <c r="K234" s="219" t="s">
        <v>493</v>
      </c>
      <c r="L234" s="214" t="s">
        <v>487</v>
      </c>
      <c r="M234" s="222">
        <v>2025.0</v>
      </c>
      <c r="N234" s="214" t="s">
        <v>497</v>
      </c>
      <c r="O234" s="223">
        <v>1.0</v>
      </c>
      <c r="P234" s="224">
        <f t="shared" si="1"/>
        <v>0.4596463236</v>
      </c>
      <c r="Q234" s="214" t="str">
        <f t="shared" si="2"/>
        <v>High</v>
      </c>
    </row>
    <row r="235" ht="15.75" customHeight="1">
      <c r="A235" s="214" t="s">
        <v>687</v>
      </c>
      <c r="B235" s="216">
        <v>9704.0</v>
      </c>
      <c r="C235" s="216">
        <v>4339.0</v>
      </c>
      <c r="D235" s="217">
        <v>12.0</v>
      </c>
      <c r="E235" s="219" t="s">
        <v>242</v>
      </c>
      <c r="F235" s="219" t="s">
        <v>356</v>
      </c>
      <c r="G235" s="214" t="s">
        <v>405</v>
      </c>
      <c r="H235" s="221">
        <v>44261.0</v>
      </c>
      <c r="I235" s="219" t="s">
        <v>688</v>
      </c>
      <c r="J235" s="219" t="s">
        <v>241</v>
      </c>
      <c r="K235" s="219" t="s">
        <v>541</v>
      </c>
      <c r="L235" s="214" t="s">
        <v>440</v>
      </c>
      <c r="M235" s="222">
        <v>2021.0</v>
      </c>
      <c r="N235" s="214" t="s">
        <v>433</v>
      </c>
      <c r="O235" s="223">
        <v>1.0</v>
      </c>
      <c r="P235" s="224">
        <f t="shared" si="1"/>
        <v>0.447135202</v>
      </c>
      <c r="Q235" s="214" t="str">
        <f t="shared" si="2"/>
        <v>High</v>
      </c>
    </row>
    <row r="236" ht="15.75" customHeight="1">
      <c r="A236" s="214" t="s">
        <v>687</v>
      </c>
      <c r="B236" s="216">
        <v>4948.0</v>
      </c>
      <c r="C236" s="216">
        <v>2356.0</v>
      </c>
      <c r="D236" s="217">
        <v>18.0</v>
      </c>
      <c r="E236" s="219" t="s">
        <v>157</v>
      </c>
      <c r="F236" s="219" t="s">
        <v>354</v>
      </c>
      <c r="G236" s="214" t="s">
        <v>351</v>
      </c>
      <c r="H236" s="221">
        <v>44261.0</v>
      </c>
      <c r="I236" s="219" t="s">
        <v>688</v>
      </c>
      <c r="J236" s="219" t="s">
        <v>241</v>
      </c>
      <c r="K236" s="219" t="s">
        <v>541</v>
      </c>
      <c r="L236" s="214" t="s">
        <v>440</v>
      </c>
      <c r="M236" s="222">
        <v>2021.0</v>
      </c>
      <c r="N236" s="214" t="s">
        <v>433</v>
      </c>
      <c r="O236" s="223">
        <v>1.0</v>
      </c>
      <c r="P236" s="224">
        <f t="shared" si="1"/>
        <v>0.4761519806</v>
      </c>
      <c r="Q236" s="214" t="str">
        <f t="shared" si="2"/>
        <v>Medium</v>
      </c>
    </row>
    <row r="237" ht="15.75" customHeight="1">
      <c r="A237" s="214" t="s">
        <v>687</v>
      </c>
      <c r="B237" s="216">
        <v>6435.0</v>
      </c>
      <c r="C237" s="216">
        <v>334.0</v>
      </c>
      <c r="D237" s="217">
        <v>10.0</v>
      </c>
      <c r="E237" s="219" t="s">
        <v>157</v>
      </c>
      <c r="F237" s="219" t="s">
        <v>355</v>
      </c>
      <c r="G237" s="214" t="s">
        <v>351</v>
      </c>
      <c r="H237" s="221">
        <v>44261.0</v>
      </c>
      <c r="I237" s="219" t="s">
        <v>688</v>
      </c>
      <c r="J237" s="219" t="s">
        <v>241</v>
      </c>
      <c r="K237" s="219" t="s">
        <v>541</v>
      </c>
      <c r="L237" s="214" t="s">
        <v>440</v>
      </c>
      <c r="M237" s="222">
        <v>2021.0</v>
      </c>
      <c r="N237" s="214" t="s">
        <v>433</v>
      </c>
      <c r="O237" s="223">
        <v>1.0</v>
      </c>
      <c r="P237" s="224">
        <f t="shared" si="1"/>
        <v>0.0519036519</v>
      </c>
      <c r="Q237" s="214" t="str">
        <f t="shared" si="2"/>
        <v>High</v>
      </c>
    </row>
    <row r="238" ht="15.75" customHeight="1">
      <c r="A238" s="214" t="s">
        <v>689</v>
      </c>
      <c r="B238" s="216">
        <v>9965.0</v>
      </c>
      <c r="C238" s="216">
        <v>3033.0</v>
      </c>
      <c r="D238" s="217">
        <v>16.0</v>
      </c>
      <c r="E238" s="219" t="s">
        <v>242</v>
      </c>
      <c r="F238" s="219" t="s">
        <v>317</v>
      </c>
      <c r="G238" s="214" t="s">
        <v>405</v>
      </c>
      <c r="H238" s="221">
        <v>43999.0</v>
      </c>
      <c r="I238" s="219" t="s">
        <v>690</v>
      </c>
      <c r="J238" s="219" t="s">
        <v>117</v>
      </c>
      <c r="K238" s="219" t="s">
        <v>508</v>
      </c>
      <c r="L238" s="214" t="s">
        <v>421</v>
      </c>
      <c r="M238" s="222">
        <v>2020.0</v>
      </c>
      <c r="N238" s="214" t="s">
        <v>396</v>
      </c>
      <c r="O238" s="223">
        <v>2.0</v>
      </c>
      <c r="P238" s="224">
        <f t="shared" si="1"/>
        <v>0.3043652785</v>
      </c>
      <c r="Q238" s="214" t="str">
        <f t="shared" si="2"/>
        <v>High</v>
      </c>
    </row>
    <row r="239" ht="15.75" customHeight="1">
      <c r="A239" s="214" t="s">
        <v>689</v>
      </c>
      <c r="B239" s="216">
        <v>9965.0</v>
      </c>
      <c r="C239" s="216">
        <v>3033.0</v>
      </c>
      <c r="D239" s="217">
        <v>16.0</v>
      </c>
      <c r="E239" s="219" t="s">
        <v>242</v>
      </c>
      <c r="F239" s="219" t="s">
        <v>317</v>
      </c>
      <c r="G239" s="214" t="s">
        <v>405</v>
      </c>
      <c r="H239" s="221">
        <v>45170.0</v>
      </c>
      <c r="I239" s="219" t="s">
        <v>691</v>
      </c>
      <c r="J239" s="219" t="s">
        <v>223</v>
      </c>
      <c r="K239" s="219" t="s">
        <v>402</v>
      </c>
      <c r="L239" s="214" t="s">
        <v>474</v>
      </c>
      <c r="M239" s="222">
        <v>2023.0</v>
      </c>
      <c r="N239" s="214" t="s">
        <v>536</v>
      </c>
      <c r="O239" s="223">
        <v>3.0</v>
      </c>
      <c r="P239" s="224">
        <f t="shared" si="1"/>
        <v>0.3043652785</v>
      </c>
      <c r="Q239" s="214" t="str">
        <f t="shared" si="2"/>
        <v>High</v>
      </c>
    </row>
    <row r="240" ht="15.75" customHeight="1">
      <c r="A240" s="214" t="s">
        <v>692</v>
      </c>
      <c r="B240" s="216">
        <v>1523.0</v>
      </c>
      <c r="C240" s="216">
        <v>234.0</v>
      </c>
      <c r="D240" s="217">
        <v>3.0</v>
      </c>
      <c r="E240" s="219" t="s">
        <v>216</v>
      </c>
      <c r="F240" s="219" t="s">
        <v>347</v>
      </c>
      <c r="G240" s="214" t="s">
        <v>392</v>
      </c>
      <c r="H240" s="221">
        <v>45085.0</v>
      </c>
      <c r="I240" s="219" t="s">
        <v>693</v>
      </c>
      <c r="J240" s="219" t="s">
        <v>223</v>
      </c>
      <c r="K240" s="219" t="s">
        <v>473</v>
      </c>
      <c r="L240" s="214" t="s">
        <v>395</v>
      </c>
      <c r="M240" s="222">
        <v>2023.0</v>
      </c>
      <c r="N240" s="214" t="s">
        <v>396</v>
      </c>
      <c r="O240" s="223">
        <v>2.0</v>
      </c>
      <c r="P240" s="224">
        <f t="shared" si="1"/>
        <v>0.1536441234</v>
      </c>
      <c r="Q240" s="214" t="str">
        <f t="shared" si="2"/>
        <v>Medium</v>
      </c>
    </row>
    <row r="241" ht="15.75" customHeight="1">
      <c r="A241" s="214" t="s">
        <v>692</v>
      </c>
      <c r="B241" s="216">
        <v>9073.0</v>
      </c>
      <c r="C241" s="216">
        <v>424.0</v>
      </c>
      <c r="D241" s="217">
        <v>7.0</v>
      </c>
      <c r="E241" s="219" t="s">
        <v>157</v>
      </c>
      <c r="F241" s="219" t="s">
        <v>355</v>
      </c>
      <c r="G241" s="214" t="s">
        <v>351</v>
      </c>
      <c r="H241" s="221">
        <v>45085.0</v>
      </c>
      <c r="I241" s="219" t="s">
        <v>693</v>
      </c>
      <c r="J241" s="219" t="s">
        <v>223</v>
      </c>
      <c r="K241" s="219" t="s">
        <v>473</v>
      </c>
      <c r="L241" s="214" t="s">
        <v>395</v>
      </c>
      <c r="M241" s="222">
        <v>2023.0</v>
      </c>
      <c r="N241" s="214" t="s">
        <v>396</v>
      </c>
      <c r="O241" s="223">
        <v>2.0</v>
      </c>
      <c r="P241" s="224">
        <f t="shared" si="1"/>
        <v>0.04673206216</v>
      </c>
      <c r="Q241" s="214" t="str">
        <f t="shared" si="2"/>
        <v>High</v>
      </c>
    </row>
    <row r="242" ht="15.75" customHeight="1">
      <c r="A242" s="214" t="s">
        <v>694</v>
      </c>
      <c r="B242" s="216">
        <v>6447.0</v>
      </c>
      <c r="C242" s="216">
        <v>3079.0</v>
      </c>
      <c r="D242" s="217">
        <v>20.0</v>
      </c>
      <c r="E242" s="219" t="s">
        <v>157</v>
      </c>
      <c r="F242" s="219" t="s">
        <v>360</v>
      </c>
      <c r="G242" s="214" t="s">
        <v>405</v>
      </c>
      <c r="H242" s="221">
        <v>44280.0</v>
      </c>
      <c r="I242" s="219" t="s">
        <v>695</v>
      </c>
      <c r="J242" s="219" t="s">
        <v>223</v>
      </c>
      <c r="K242" s="219" t="s">
        <v>473</v>
      </c>
      <c r="L242" s="214" t="s">
        <v>440</v>
      </c>
      <c r="M242" s="222">
        <v>2021.0</v>
      </c>
      <c r="N242" s="214" t="s">
        <v>433</v>
      </c>
      <c r="O242" s="223">
        <v>1.0</v>
      </c>
      <c r="P242" s="224">
        <f t="shared" si="1"/>
        <v>0.4775864743</v>
      </c>
      <c r="Q242" s="214" t="str">
        <f t="shared" si="2"/>
        <v>High</v>
      </c>
    </row>
    <row r="243" ht="15.75" customHeight="1">
      <c r="A243" s="214" t="s">
        <v>694</v>
      </c>
      <c r="B243" s="216">
        <v>8947.0</v>
      </c>
      <c r="C243" s="216">
        <v>2807.0</v>
      </c>
      <c r="D243" s="217">
        <v>6.0</v>
      </c>
      <c r="E243" s="219" t="s">
        <v>157</v>
      </c>
      <c r="F243" s="219" t="s">
        <v>355</v>
      </c>
      <c r="G243" s="214" t="s">
        <v>350</v>
      </c>
      <c r="H243" s="221">
        <v>44280.0</v>
      </c>
      <c r="I243" s="219" t="s">
        <v>695</v>
      </c>
      <c r="J243" s="219" t="s">
        <v>223</v>
      </c>
      <c r="K243" s="219" t="s">
        <v>473</v>
      </c>
      <c r="L243" s="214" t="s">
        <v>440</v>
      </c>
      <c r="M243" s="222">
        <v>2021.0</v>
      </c>
      <c r="N243" s="214" t="s">
        <v>433</v>
      </c>
      <c r="O243" s="223">
        <v>1.0</v>
      </c>
      <c r="P243" s="224">
        <f t="shared" si="1"/>
        <v>0.313736448</v>
      </c>
      <c r="Q243" s="214" t="str">
        <f t="shared" si="2"/>
        <v>High</v>
      </c>
    </row>
    <row r="244" ht="15.75" customHeight="1">
      <c r="A244" s="214" t="s">
        <v>696</v>
      </c>
      <c r="B244" s="216">
        <v>914.0</v>
      </c>
      <c r="C244" s="216">
        <v>400.0</v>
      </c>
      <c r="D244" s="217">
        <v>8.0</v>
      </c>
      <c r="E244" s="219" t="s">
        <v>242</v>
      </c>
      <c r="F244" s="219" t="s">
        <v>356</v>
      </c>
      <c r="G244" s="214" t="s">
        <v>351</v>
      </c>
      <c r="H244" s="221">
        <v>44199.0</v>
      </c>
      <c r="I244" s="219" t="s">
        <v>697</v>
      </c>
      <c r="J244" s="219" t="s">
        <v>117</v>
      </c>
      <c r="K244" s="219" t="s">
        <v>423</v>
      </c>
      <c r="L244" s="214" t="s">
        <v>438</v>
      </c>
      <c r="M244" s="222">
        <v>2021.0</v>
      </c>
      <c r="N244" s="214" t="s">
        <v>497</v>
      </c>
      <c r="O244" s="223">
        <v>1.0</v>
      </c>
      <c r="P244" s="224">
        <f t="shared" si="1"/>
        <v>0.4376367615</v>
      </c>
      <c r="Q244" s="214" t="str">
        <f t="shared" si="2"/>
        <v>Medium</v>
      </c>
    </row>
    <row r="245" ht="15.75" customHeight="1">
      <c r="A245" s="214" t="s">
        <v>696</v>
      </c>
      <c r="B245" s="216">
        <v>1548.0</v>
      </c>
      <c r="C245" s="216">
        <v>666.0</v>
      </c>
      <c r="D245" s="217">
        <v>3.0</v>
      </c>
      <c r="E245" s="219" t="s">
        <v>242</v>
      </c>
      <c r="F245" s="219" t="s">
        <v>357</v>
      </c>
      <c r="G245" s="214" t="s">
        <v>350</v>
      </c>
      <c r="H245" s="221">
        <v>44199.0</v>
      </c>
      <c r="I245" s="219" t="s">
        <v>697</v>
      </c>
      <c r="J245" s="219" t="s">
        <v>117</v>
      </c>
      <c r="K245" s="219" t="s">
        <v>423</v>
      </c>
      <c r="L245" s="214" t="s">
        <v>438</v>
      </c>
      <c r="M245" s="222">
        <v>2021.0</v>
      </c>
      <c r="N245" s="214" t="s">
        <v>497</v>
      </c>
      <c r="O245" s="223">
        <v>1.0</v>
      </c>
      <c r="P245" s="224">
        <f t="shared" si="1"/>
        <v>0.4302325581</v>
      </c>
      <c r="Q245" s="214" t="str">
        <f t="shared" si="2"/>
        <v>Medium</v>
      </c>
    </row>
    <row r="246" ht="15.75" customHeight="1">
      <c r="A246" s="214" t="s">
        <v>698</v>
      </c>
      <c r="B246" s="216">
        <v>2759.0</v>
      </c>
      <c r="C246" s="216">
        <v>1149.0</v>
      </c>
      <c r="D246" s="217">
        <v>6.0</v>
      </c>
      <c r="E246" s="219" t="s">
        <v>216</v>
      </c>
      <c r="F246" s="219" t="s">
        <v>344</v>
      </c>
      <c r="G246" s="214" t="s">
        <v>350</v>
      </c>
      <c r="H246" s="221">
        <v>45653.0</v>
      </c>
      <c r="I246" s="219" t="s">
        <v>699</v>
      </c>
      <c r="J246" s="219" t="s">
        <v>223</v>
      </c>
      <c r="K246" s="219" t="s">
        <v>428</v>
      </c>
      <c r="L246" s="214" t="s">
        <v>399</v>
      </c>
      <c r="M246" s="222">
        <v>2024.0</v>
      </c>
      <c r="N246" s="214" t="s">
        <v>400</v>
      </c>
      <c r="O246" s="223">
        <v>4.0</v>
      </c>
      <c r="P246" s="224">
        <f t="shared" si="1"/>
        <v>0.4164552374</v>
      </c>
      <c r="Q246" s="214" t="str">
        <f t="shared" si="2"/>
        <v>Medium</v>
      </c>
    </row>
    <row r="247" ht="15.75" customHeight="1">
      <c r="A247" s="214" t="s">
        <v>700</v>
      </c>
      <c r="B247" s="216">
        <v>1341.0</v>
      </c>
      <c r="C247" s="216">
        <v>615.0</v>
      </c>
      <c r="D247" s="217">
        <v>4.0</v>
      </c>
      <c r="E247" s="219" t="s">
        <v>157</v>
      </c>
      <c r="F247" s="219" t="s">
        <v>360</v>
      </c>
      <c r="G247" s="214" t="s">
        <v>392</v>
      </c>
      <c r="H247" s="221">
        <v>44785.0</v>
      </c>
      <c r="I247" s="219" t="s">
        <v>701</v>
      </c>
      <c r="J247" s="219" t="s">
        <v>159</v>
      </c>
      <c r="K247" s="219" t="s">
        <v>409</v>
      </c>
      <c r="L247" s="214" t="s">
        <v>461</v>
      </c>
      <c r="M247" s="222">
        <v>2022.0</v>
      </c>
      <c r="N247" s="214" t="s">
        <v>523</v>
      </c>
      <c r="O247" s="223">
        <v>3.0</v>
      </c>
      <c r="P247" s="224">
        <f t="shared" si="1"/>
        <v>0.4586129754</v>
      </c>
      <c r="Q247" s="214" t="str">
        <f t="shared" si="2"/>
        <v>Medium</v>
      </c>
    </row>
    <row r="248" ht="15.75" customHeight="1">
      <c r="A248" s="214" t="s">
        <v>702</v>
      </c>
      <c r="B248" s="216">
        <v>9851.0</v>
      </c>
      <c r="C248" s="216">
        <v>2669.0</v>
      </c>
      <c r="D248" s="217">
        <v>19.0</v>
      </c>
      <c r="E248" s="219" t="s">
        <v>157</v>
      </c>
      <c r="F248" s="219" t="s">
        <v>355</v>
      </c>
      <c r="G248" s="214" t="s">
        <v>351</v>
      </c>
      <c r="H248" s="221">
        <v>44648.0</v>
      </c>
      <c r="I248" s="219" t="s">
        <v>703</v>
      </c>
      <c r="J248" s="219" t="s">
        <v>313</v>
      </c>
      <c r="K248" s="219" t="s">
        <v>526</v>
      </c>
      <c r="L248" s="214" t="s">
        <v>455</v>
      </c>
      <c r="M248" s="222">
        <v>2022.0</v>
      </c>
      <c r="N248" s="214" t="s">
        <v>433</v>
      </c>
      <c r="O248" s="223">
        <v>1.0</v>
      </c>
      <c r="P248" s="224">
        <f t="shared" si="1"/>
        <v>0.2709369607</v>
      </c>
      <c r="Q248" s="214" t="str">
        <f t="shared" si="2"/>
        <v>High</v>
      </c>
    </row>
    <row r="249" ht="15.75" customHeight="1">
      <c r="A249" s="214" t="s">
        <v>702</v>
      </c>
      <c r="B249" s="216">
        <v>9851.0</v>
      </c>
      <c r="C249" s="216">
        <v>2669.0</v>
      </c>
      <c r="D249" s="217">
        <v>19.0</v>
      </c>
      <c r="E249" s="219" t="s">
        <v>157</v>
      </c>
      <c r="F249" s="219" t="s">
        <v>355</v>
      </c>
      <c r="G249" s="214" t="s">
        <v>351</v>
      </c>
      <c r="H249" s="221">
        <v>45122.0</v>
      </c>
      <c r="I249" s="219" t="s">
        <v>704</v>
      </c>
      <c r="J249" s="219" t="s">
        <v>223</v>
      </c>
      <c r="K249" s="219" t="s">
        <v>402</v>
      </c>
      <c r="L249" s="214" t="s">
        <v>471</v>
      </c>
      <c r="M249" s="222">
        <v>2023.0</v>
      </c>
      <c r="N249" s="214" t="s">
        <v>404</v>
      </c>
      <c r="O249" s="223">
        <v>3.0</v>
      </c>
      <c r="P249" s="224">
        <f t="shared" si="1"/>
        <v>0.2709369607</v>
      </c>
      <c r="Q249" s="214" t="str">
        <f t="shared" si="2"/>
        <v>High</v>
      </c>
    </row>
    <row r="250" ht="15.75" customHeight="1">
      <c r="A250" s="214" t="s">
        <v>702</v>
      </c>
      <c r="B250" s="216">
        <v>9851.0</v>
      </c>
      <c r="C250" s="216">
        <v>2669.0</v>
      </c>
      <c r="D250" s="217">
        <v>19.0</v>
      </c>
      <c r="E250" s="219" t="s">
        <v>157</v>
      </c>
      <c r="F250" s="219" t="s">
        <v>355</v>
      </c>
      <c r="G250" s="214" t="s">
        <v>351</v>
      </c>
      <c r="H250" s="221">
        <v>44826.0</v>
      </c>
      <c r="I250" s="219" t="s">
        <v>705</v>
      </c>
      <c r="J250" s="219" t="s">
        <v>159</v>
      </c>
      <c r="K250" s="219" t="s">
        <v>409</v>
      </c>
      <c r="L250" s="214" t="s">
        <v>462</v>
      </c>
      <c r="M250" s="222">
        <v>2022.0</v>
      </c>
      <c r="N250" s="214" t="s">
        <v>536</v>
      </c>
      <c r="O250" s="223">
        <v>3.0</v>
      </c>
      <c r="P250" s="224">
        <f t="shared" si="1"/>
        <v>0.2709369607</v>
      </c>
      <c r="Q250" s="214" t="str">
        <f t="shared" si="2"/>
        <v>High</v>
      </c>
    </row>
    <row r="251" ht="15.75" customHeight="1">
      <c r="A251" s="214" t="s">
        <v>702</v>
      </c>
      <c r="B251" s="216">
        <v>9989.0</v>
      </c>
      <c r="C251" s="216">
        <v>3930.0</v>
      </c>
      <c r="D251" s="217">
        <v>14.0</v>
      </c>
      <c r="E251" s="219" t="s">
        <v>216</v>
      </c>
      <c r="F251" s="219" t="s">
        <v>344</v>
      </c>
      <c r="G251" s="214" t="s">
        <v>351</v>
      </c>
      <c r="H251" s="221">
        <v>44648.0</v>
      </c>
      <c r="I251" s="219" t="s">
        <v>703</v>
      </c>
      <c r="J251" s="219" t="s">
        <v>313</v>
      </c>
      <c r="K251" s="219" t="s">
        <v>526</v>
      </c>
      <c r="L251" s="214" t="s">
        <v>455</v>
      </c>
      <c r="M251" s="222">
        <v>2022.0</v>
      </c>
      <c r="N251" s="214" t="s">
        <v>433</v>
      </c>
      <c r="O251" s="223">
        <v>1.0</v>
      </c>
      <c r="P251" s="224">
        <f t="shared" si="1"/>
        <v>0.3934327761</v>
      </c>
      <c r="Q251" s="214" t="str">
        <f t="shared" si="2"/>
        <v>High</v>
      </c>
    </row>
    <row r="252" ht="15.75" customHeight="1">
      <c r="A252" s="214" t="s">
        <v>702</v>
      </c>
      <c r="B252" s="216">
        <v>9989.0</v>
      </c>
      <c r="C252" s="216">
        <v>3930.0</v>
      </c>
      <c r="D252" s="217">
        <v>14.0</v>
      </c>
      <c r="E252" s="219" t="s">
        <v>216</v>
      </c>
      <c r="F252" s="219" t="s">
        <v>344</v>
      </c>
      <c r="G252" s="214" t="s">
        <v>351</v>
      </c>
      <c r="H252" s="221">
        <v>45122.0</v>
      </c>
      <c r="I252" s="219" t="s">
        <v>704</v>
      </c>
      <c r="J252" s="219" t="s">
        <v>223</v>
      </c>
      <c r="K252" s="219" t="s">
        <v>402</v>
      </c>
      <c r="L252" s="214" t="s">
        <v>471</v>
      </c>
      <c r="M252" s="222">
        <v>2023.0</v>
      </c>
      <c r="N252" s="214" t="s">
        <v>404</v>
      </c>
      <c r="O252" s="223">
        <v>3.0</v>
      </c>
      <c r="P252" s="224">
        <f t="shared" si="1"/>
        <v>0.3934327761</v>
      </c>
      <c r="Q252" s="214" t="str">
        <f t="shared" si="2"/>
        <v>High</v>
      </c>
    </row>
    <row r="253" ht="15.75" customHeight="1">
      <c r="A253" s="214" t="s">
        <v>702</v>
      </c>
      <c r="B253" s="216">
        <v>9989.0</v>
      </c>
      <c r="C253" s="216">
        <v>3930.0</v>
      </c>
      <c r="D253" s="217">
        <v>14.0</v>
      </c>
      <c r="E253" s="219" t="s">
        <v>216</v>
      </c>
      <c r="F253" s="219" t="s">
        <v>344</v>
      </c>
      <c r="G253" s="214" t="s">
        <v>351</v>
      </c>
      <c r="H253" s="221">
        <v>44826.0</v>
      </c>
      <c r="I253" s="219" t="s">
        <v>705</v>
      </c>
      <c r="J253" s="219" t="s">
        <v>159</v>
      </c>
      <c r="K253" s="219" t="s">
        <v>409</v>
      </c>
      <c r="L253" s="214" t="s">
        <v>462</v>
      </c>
      <c r="M253" s="222">
        <v>2022.0</v>
      </c>
      <c r="N253" s="214" t="s">
        <v>536</v>
      </c>
      <c r="O253" s="223">
        <v>3.0</v>
      </c>
      <c r="P253" s="224">
        <f t="shared" si="1"/>
        <v>0.3934327761</v>
      </c>
      <c r="Q253" s="214" t="str">
        <f t="shared" si="2"/>
        <v>High</v>
      </c>
    </row>
    <row r="254" ht="15.75" customHeight="1">
      <c r="A254" s="214" t="s">
        <v>706</v>
      </c>
      <c r="B254" s="216">
        <v>7421.0</v>
      </c>
      <c r="C254" s="216">
        <v>958.0</v>
      </c>
      <c r="D254" s="217">
        <v>10.0</v>
      </c>
      <c r="E254" s="219" t="s">
        <v>216</v>
      </c>
      <c r="F254" s="219" t="s">
        <v>344</v>
      </c>
      <c r="G254" s="214" t="s">
        <v>405</v>
      </c>
      <c r="H254" s="221">
        <v>44915.0</v>
      </c>
      <c r="I254" s="219" t="s">
        <v>707</v>
      </c>
      <c r="J254" s="219" t="s">
        <v>241</v>
      </c>
      <c r="K254" s="219" t="s">
        <v>541</v>
      </c>
      <c r="L254" s="214" t="s">
        <v>464</v>
      </c>
      <c r="M254" s="222">
        <v>2022.0</v>
      </c>
      <c r="N254" s="214" t="s">
        <v>400</v>
      </c>
      <c r="O254" s="223">
        <v>4.0</v>
      </c>
      <c r="P254" s="224">
        <f t="shared" si="1"/>
        <v>0.1290931141</v>
      </c>
      <c r="Q254" s="214" t="str">
        <f t="shared" si="2"/>
        <v>High</v>
      </c>
    </row>
    <row r="255" ht="15.75" customHeight="1">
      <c r="A255" s="214" t="s">
        <v>706</v>
      </c>
      <c r="B255" s="216">
        <v>7421.0</v>
      </c>
      <c r="C255" s="216">
        <v>958.0</v>
      </c>
      <c r="D255" s="217">
        <v>10.0</v>
      </c>
      <c r="E255" s="219" t="s">
        <v>216</v>
      </c>
      <c r="F255" s="219" t="s">
        <v>344</v>
      </c>
      <c r="G255" s="214" t="s">
        <v>405</v>
      </c>
      <c r="H255" s="221">
        <v>44577.0</v>
      </c>
      <c r="I255" s="219" t="s">
        <v>708</v>
      </c>
      <c r="J255" s="219" t="s">
        <v>241</v>
      </c>
      <c r="K255" s="219" t="s">
        <v>541</v>
      </c>
      <c r="L255" s="214" t="s">
        <v>453</v>
      </c>
      <c r="M255" s="222">
        <v>2022.0</v>
      </c>
      <c r="N255" s="214" t="s">
        <v>497</v>
      </c>
      <c r="O255" s="223">
        <v>1.0</v>
      </c>
      <c r="P255" s="224">
        <f t="shared" si="1"/>
        <v>0.1290931141</v>
      </c>
      <c r="Q255" s="214" t="str">
        <f t="shared" si="2"/>
        <v>High</v>
      </c>
    </row>
    <row r="256" ht="15.75" customHeight="1">
      <c r="A256" s="214" t="s">
        <v>706</v>
      </c>
      <c r="B256" s="216">
        <v>7421.0</v>
      </c>
      <c r="C256" s="216">
        <v>958.0</v>
      </c>
      <c r="D256" s="217">
        <v>10.0</v>
      </c>
      <c r="E256" s="219" t="s">
        <v>216</v>
      </c>
      <c r="F256" s="219" t="s">
        <v>344</v>
      </c>
      <c r="G256" s="214" t="s">
        <v>405</v>
      </c>
      <c r="H256" s="221">
        <v>44955.0</v>
      </c>
      <c r="I256" s="219" t="s">
        <v>709</v>
      </c>
      <c r="J256" s="219" t="s">
        <v>241</v>
      </c>
      <c r="K256" s="219" t="s">
        <v>493</v>
      </c>
      <c r="L256" s="214" t="s">
        <v>465</v>
      </c>
      <c r="M256" s="222">
        <v>2023.0</v>
      </c>
      <c r="N256" s="214" t="s">
        <v>497</v>
      </c>
      <c r="O256" s="223">
        <v>1.0</v>
      </c>
      <c r="P256" s="224">
        <f t="shared" si="1"/>
        <v>0.1290931141</v>
      </c>
      <c r="Q256" s="214" t="str">
        <f t="shared" si="2"/>
        <v>High</v>
      </c>
    </row>
    <row r="257" ht="15.75" customHeight="1">
      <c r="A257" s="214" t="s">
        <v>710</v>
      </c>
      <c r="B257" s="216">
        <v>3099.0</v>
      </c>
      <c r="C257" s="216">
        <v>479.0</v>
      </c>
      <c r="D257" s="217">
        <v>1.0</v>
      </c>
      <c r="E257" s="219" t="s">
        <v>242</v>
      </c>
      <c r="F257" s="219" t="s">
        <v>357</v>
      </c>
      <c r="G257" s="214" t="s">
        <v>405</v>
      </c>
      <c r="H257" s="221">
        <v>44576.0</v>
      </c>
      <c r="I257" s="219" t="s">
        <v>711</v>
      </c>
      <c r="J257" s="219" t="s">
        <v>223</v>
      </c>
      <c r="K257" s="219" t="s">
        <v>402</v>
      </c>
      <c r="L257" s="214" t="s">
        <v>453</v>
      </c>
      <c r="M257" s="222">
        <v>2022.0</v>
      </c>
      <c r="N257" s="214" t="s">
        <v>497</v>
      </c>
      <c r="O257" s="223">
        <v>1.0</v>
      </c>
      <c r="P257" s="224">
        <f t="shared" si="1"/>
        <v>0.154565989</v>
      </c>
      <c r="Q257" s="214" t="str">
        <f t="shared" si="2"/>
        <v>Medium</v>
      </c>
    </row>
    <row r="258" ht="15.75" customHeight="1">
      <c r="A258" s="214" t="s">
        <v>710</v>
      </c>
      <c r="B258" s="216">
        <v>2521.0</v>
      </c>
      <c r="C258" s="216">
        <v>906.0</v>
      </c>
      <c r="D258" s="217">
        <v>7.0</v>
      </c>
      <c r="E258" s="219" t="s">
        <v>157</v>
      </c>
      <c r="F258" s="219" t="s">
        <v>358</v>
      </c>
      <c r="G258" s="214" t="s">
        <v>405</v>
      </c>
      <c r="H258" s="221">
        <v>44576.0</v>
      </c>
      <c r="I258" s="219" t="s">
        <v>711</v>
      </c>
      <c r="J258" s="219" t="s">
        <v>223</v>
      </c>
      <c r="K258" s="219" t="s">
        <v>402</v>
      </c>
      <c r="L258" s="214" t="s">
        <v>453</v>
      </c>
      <c r="M258" s="222">
        <v>2022.0</v>
      </c>
      <c r="N258" s="214" t="s">
        <v>497</v>
      </c>
      <c r="O258" s="223">
        <v>1.0</v>
      </c>
      <c r="P258" s="224">
        <f t="shared" si="1"/>
        <v>0.3593811979</v>
      </c>
      <c r="Q258" s="214" t="str">
        <f t="shared" si="2"/>
        <v>Medium</v>
      </c>
    </row>
    <row r="259" ht="15.75" customHeight="1">
      <c r="A259" s="214" t="s">
        <v>712</v>
      </c>
      <c r="B259" s="216">
        <v>6962.0</v>
      </c>
      <c r="C259" s="216">
        <v>3429.0</v>
      </c>
      <c r="D259" s="217">
        <v>12.0</v>
      </c>
      <c r="E259" s="219" t="s">
        <v>157</v>
      </c>
      <c r="F259" s="219" t="s">
        <v>355</v>
      </c>
      <c r="G259" s="214" t="s">
        <v>392</v>
      </c>
      <c r="H259" s="221">
        <v>45375.0</v>
      </c>
      <c r="I259" s="219" t="s">
        <v>713</v>
      </c>
      <c r="J259" s="219" t="s">
        <v>241</v>
      </c>
      <c r="K259" s="219" t="s">
        <v>493</v>
      </c>
      <c r="L259" s="214" t="s">
        <v>479</v>
      </c>
      <c r="M259" s="222">
        <v>2024.0</v>
      </c>
      <c r="N259" s="214" t="s">
        <v>433</v>
      </c>
      <c r="O259" s="223">
        <v>1.0</v>
      </c>
      <c r="P259" s="224">
        <f t="shared" si="1"/>
        <v>0.4925308819</v>
      </c>
      <c r="Q259" s="214" t="str">
        <f t="shared" si="2"/>
        <v>High</v>
      </c>
    </row>
    <row r="260" ht="15.75" customHeight="1">
      <c r="A260" s="214" t="s">
        <v>712</v>
      </c>
      <c r="B260" s="216">
        <v>6962.0</v>
      </c>
      <c r="C260" s="216">
        <v>3429.0</v>
      </c>
      <c r="D260" s="217">
        <v>12.0</v>
      </c>
      <c r="E260" s="219" t="s">
        <v>157</v>
      </c>
      <c r="F260" s="219" t="s">
        <v>355</v>
      </c>
      <c r="G260" s="214" t="s">
        <v>392</v>
      </c>
      <c r="H260" s="221">
        <v>45707.0</v>
      </c>
      <c r="I260" s="219" t="s">
        <v>714</v>
      </c>
      <c r="J260" s="219" t="s">
        <v>159</v>
      </c>
      <c r="K260" s="219" t="s">
        <v>394</v>
      </c>
      <c r="L260" s="214" t="s">
        <v>488</v>
      </c>
      <c r="M260" s="222">
        <v>2025.0</v>
      </c>
      <c r="N260" s="214" t="s">
        <v>494</v>
      </c>
      <c r="O260" s="223">
        <v>1.0</v>
      </c>
      <c r="P260" s="224">
        <f t="shared" si="1"/>
        <v>0.4925308819</v>
      </c>
      <c r="Q260" s="214" t="str">
        <f t="shared" si="2"/>
        <v>High</v>
      </c>
    </row>
    <row r="261" ht="15.75" customHeight="1">
      <c r="A261" s="214" t="s">
        <v>715</v>
      </c>
      <c r="B261" s="216">
        <v>1085.0</v>
      </c>
      <c r="C261" s="216">
        <v>301.0</v>
      </c>
      <c r="D261" s="217">
        <v>20.0</v>
      </c>
      <c r="E261" s="219" t="s">
        <v>216</v>
      </c>
      <c r="F261" s="219" t="s">
        <v>361</v>
      </c>
      <c r="G261" s="214" t="s">
        <v>392</v>
      </c>
      <c r="H261" s="221">
        <v>45486.0</v>
      </c>
      <c r="I261" s="219" t="s">
        <v>716</v>
      </c>
      <c r="J261" s="219" t="s">
        <v>223</v>
      </c>
      <c r="K261" s="219" t="s">
        <v>402</v>
      </c>
      <c r="L261" s="214" t="s">
        <v>482</v>
      </c>
      <c r="M261" s="222">
        <v>2024.0</v>
      </c>
      <c r="N261" s="214" t="s">
        <v>404</v>
      </c>
      <c r="O261" s="223">
        <v>3.0</v>
      </c>
      <c r="P261" s="224">
        <f t="shared" si="1"/>
        <v>0.2774193548</v>
      </c>
      <c r="Q261" s="214" t="str">
        <f t="shared" si="2"/>
        <v>Medium</v>
      </c>
    </row>
    <row r="262" ht="15.75" customHeight="1">
      <c r="A262" s="214" t="s">
        <v>717</v>
      </c>
      <c r="B262" s="216">
        <v>738.0</v>
      </c>
      <c r="C262" s="216">
        <v>342.0</v>
      </c>
      <c r="D262" s="217">
        <v>2.0</v>
      </c>
      <c r="E262" s="219" t="s">
        <v>216</v>
      </c>
      <c r="F262" s="219" t="s">
        <v>359</v>
      </c>
      <c r="G262" s="214" t="s">
        <v>351</v>
      </c>
      <c r="H262" s="221">
        <v>45044.0</v>
      </c>
      <c r="I262" s="219" t="s">
        <v>718</v>
      </c>
      <c r="J262" s="219" t="s">
        <v>313</v>
      </c>
      <c r="K262" s="219" t="s">
        <v>518</v>
      </c>
      <c r="L262" s="214" t="s">
        <v>468</v>
      </c>
      <c r="M262" s="222">
        <v>2023.0</v>
      </c>
      <c r="N262" s="214" t="s">
        <v>542</v>
      </c>
      <c r="O262" s="223">
        <v>2.0</v>
      </c>
      <c r="P262" s="224">
        <f t="shared" si="1"/>
        <v>0.4634146341</v>
      </c>
      <c r="Q262" s="214" t="str">
        <f t="shared" si="2"/>
        <v>Medium</v>
      </c>
    </row>
    <row r="263" ht="15.75" customHeight="1">
      <c r="A263" s="214" t="s">
        <v>717</v>
      </c>
      <c r="B263" s="216">
        <v>738.0</v>
      </c>
      <c r="C263" s="216">
        <v>342.0</v>
      </c>
      <c r="D263" s="217">
        <v>2.0</v>
      </c>
      <c r="E263" s="219" t="s">
        <v>216</v>
      </c>
      <c r="F263" s="219" t="s">
        <v>359</v>
      </c>
      <c r="G263" s="214" t="s">
        <v>351</v>
      </c>
      <c r="H263" s="221">
        <v>44170.0</v>
      </c>
      <c r="I263" s="219" t="s">
        <v>719</v>
      </c>
      <c r="J263" s="219" t="s">
        <v>223</v>
      </c>
      <c r="K263" s="219" t="s">
        <v>402</v>
      </c>
      <c r="L263" s="214" t="s">
        <v>437</v>
      </c>
      <c r="M263" s="222">
        <v>2020.0</v>
      </c>
      <c r="N263" s="214" t="s">
        <v>400</v>
      </c>
      <c r="O263" s="223">
        <v>4.0</v>
      </c>
      <c r="P263" s="224">
        <f t="shared" si="1"/>
        <v>0.4634146341</v>
      </c>
      <c r="Q263" s="214" t="str">
        <f t="shared" si="2"/>
        <v>Medium</v>
      </c>
    </row>
    <row r="264" ht="15.75" customHeight="1">
      <c r="A264" s="214" t="s">
        <v>717</v>
      </c>
      <c r="B264" s="216">
        <v>738.0</v>
      </c>
      <c r="C264" s="216">
        <v>342.0</v>
      </c>
      <c r="D264" s="217">
        <v>2.0</v>
      </c>
      <c r="E264" s="219" t="s">
        <v>216</v>
      </c>
      <c r="F264" s="219" t="s">
        <v>359</v>
      </c>
      <c r="G264" s="214" t="s">
        <v>351</v>
      </c>
      <c r="H264" s="221">
        <v>45426.0</v>
      </c>
      <c r="I264" s="219" t="s">
        <v>720</v>
      </c>
      <c r="J264" s="219" t="s">
        <v>313</v>
      </c>
      <c r="K264" s="219" t="s">
        <v>518</v>
      </c>
      <c r="L264" s="214" t="s">
        <v>410</v>
      </c>
      <c r="M264" s="222">
        <v>2024.0</v>
      </c>
      <c r="N264" s="214" t="s">
        <v>411</v>
      </c>
      <c r="O264" s="223">
        <v>2.0</v>
      </c>
      <c r="P264" s="224">
        <f t="shared" si="1"/>
        <v>0.4634146341</v>
      </c>
      <c r="Q264" s="214" t="str">
        <f t="shared" si="2"/>
        <v>Medium</v>
      </c>
    </row>
    <row r="265" ht="15.75" customHeight="1">
      <c r="A265" s="214" t="s">
        <v>717</v>
      </c>
      <c r="B265" s="216">
        <v>738.0</v>
      </c>
      <c r="C265" s="216">
        <v>342.0</v>
      </c>
      <c r="D265" s="217">
        <v>2.0</v>
      </c>
      <c r="E265" s="219" t="s">
        <v>216</v>
      </c>
      <c r="F265" s="219" t="s">
        <v>359</v>
      </c>
      <c r="G265" s="214" t="s">
        <v>351</v>
      </c>
      <c r="H265" s="221">
        <v>44579.0</v>
      </c>
      <c r="I265" s="219" t="s">
        <v>721</v>
      </c>
      <c r="J265" s="219" t="s">
        <v>223</v>
      </c>
      <c r="K265" s="219" t="s">
        <v>428</v>
      </c>
      <c r="L265" s="214" t="s">
        <v>453</v>
      </c>
      <c r="M265" s="222">
        <v>2022.0</v>
      </c>
      <c r="N265" s="214" t="s">
        <v>497</v>
      </c>
      <c r="O265" s="223">
        <v>1.0</v>
      </c>
      <c r="P265" s="224">
        <f t="shared" si="1"/>
        <v>0.4634146341</v>
      </c>
      <c r="Q265" s="214" t="str">
        <f t="shared" si="2"/>
        <v>Medium</v>
      </c>
    </row>
    <row r="266" ht="15.75" customHeight="1">
      <c r="A266" s="214" t="s">
        <v>722</v>
      </c>
      <c r="B266" s="216">
        <v>1366.0</v>
      </c>
      <c r="C266" s="216">
        <v>242.0</v>
      </c>
      <c r="D266" s="217">
        <v>17.0</v>
      </c>
      <c r="E266" s="219" t="s">
        <v>157</v>
      </c>
      <c r="F266" s="219" t="s">
        <v>355</v>
      </c>
      <c r="G266" s="214" t="s">
        <v>406</v>
      </c>
      <c r="H266" s="221">
        <v>45187.0</v>
      </c>
      <c r="I266" s="219" t="s">
        <v>723</v>
      </c>
      <c r="J266" s="219" t="s">
        <v>313</v>
      </c>
      <c r="K266" s="219" t="s">
        <v>512</v>
      </c>
      <c r="L266" s="214" t="s">
        <v>474</v>
      </c>
      <c r="M266" s="222">
        <v>2023.0</v>
      </c>
      <c r="N266" s="214" t="s">
        <v>536</v>
      </c>
      <c r="O266" s="223">
        <v>3.0</v>
      </c>
      <c r="P266" s="224">
        <f t="shared" si="1"/>
        <v>0.17715959</v>
      </c>
      <c r="Q266" s="214" t="str">
        <f t="shared" si="2"/>
        <v>Medium</v>
      </c>
    </row>
    <row r="267" ht="15.75" customHeight="1">
      <c r="A267" s="214" t="s">
        <v>722</v>
      </c>
      <c r="B267" s="216">
        <v>1518.0</v>
      </c>
      <c r="C267" s="216">
        <v>155.0</v>
      </c>
      <c r="D267" s="217">
        <v>13.0</v>
      </c>
      <c r="E267" s="219" t="s">
        <v>242</v>
      </c>
      <c r="F267" s="219" t="s">
        <v>317</v>
      </c>
      <c r="G267" s="214" t="s">
        <v>350</v>
      </c>
      <c r="H267" s="221">
        <v>45187.0</v>
      </c>
      <c r="I267" s="219" t="s">
        <v>723</v>
      </c>
      <c r="J267" s="219" t="s">
        <v>313</v>
      </c>
      <c r="K267" s="219" t="s">
        <v>512</v>
      </c>
      <c r="L267" s="214" t="s">
        <v>474</v>
      </c>
      <c r="M267" s="222">
        <v>2023.0</v>
      </c>
      <c r="N267" s="214" t="s">
        <v>536</v>
      </c>
      <c r="O267" s="223">
        <v>3.0</v>
      </c>
      <c r="P267" s="224">
        <f t="shared" si="1"/>
        <v>0.1021080369</v>
      </c>
      <c r="Q267" s="214" t="str">
        <f t="shared" si="2"/>
        <v>Medium</v>
      </c>
    </row>
    <row r="268" ht="15.75" customHeight="1">
      <c r="A268" s="214" t="s">
        <v>724</v>
      </c>
      <c r="B268" s="216">
        <v>2962.0</v>
      </c>
      <c r="C268" s="216">
        <v>1470.0</v>
      </c>
      <c r="D268" s="217">
        <v>1.0</v>
      </c>
      <c r="E268" s="219" t="s">
        <v>157</v>
      </c>
      <c r="F268" s="219" t="s">
        <v>358</v>
      </c>
      <c r="G268" s="214" t="s">
        <v>405</v>
      </c>
      <c r="H268" s="221">
        <v>44328.0</v>
      </c>
      <c r="I268" s="219" t="s">
        <v>725</v>
      </c>
      <c r="J268" s="219" t="s">
        <v>223</v>
      </c>
      <c r="K268" s="219" t="s">
        <v>402</v>
      </c>
      <c r="L268" s="214" t="s">
        <v>443</v>
      </c>
      <c r="M268" s="222">
        <v>2021.0</v>
      </c>
      <c r="N268" s="214" t="s">
        <v>411</v>
      </c>
      <c r="O268" s="223">
        <v>2.0</v>
      </c>
      <c r="P268" s="224">
        <f t="shared" si="1"/>
        <v>0.496286293</v>
      </c>
      <c r="Q268" s="214" t="str">
        <f t="shared" si="2"/>
        <v>Medium</v>
      </c>
    </row>
    <row r="269" ht="15.75" customHeight="1">
      <c r="A269" s="214" t="s">
        <v>724</v>
      </c>
      <c r="B269" s="216">
        <v>2962.0</v>
      </c>
      <c r="C269" s="216">
        <v>1470.0</v>
      </c>
      <c r="D269" s="217">
        <v>1.0</v>
      </c>
      <c r="E269" s="219" t="s">
        <v>157</v>
      </c>
      <c r="F269" s="219" t="s">
        <v>358</v>
      </c>
      <c r="G269" s="214" t="s">
        <v>405</v>
      </c>
      <c r="H269" s="221">
        <v>45186.0</v>
      </c>
      <c r="I269" s="219" t="s">
        <v>726</v>
      </c>
      <c r="J269" s="219" t="s">
        <v>159</v>
      </c>
      <c r="K269" s="219" t="s">
        <v>552</v>
      </c>
      <c r="L269" s="214" t="s">
        <v>474</v>
      </c>
      <c r="M269" s="222">
        <v>2023.0</v>
      </c>
      <c r="N269" s="214" t="s">
        <v>536</v>
      </c>
      <c r="O269" s="223">
        <v>3.0</v>
      </c>
      <c r="P269" s="224">
        <f t="shared" si="1"/>
        <v>0.496286293</v>
      </c>
      <c r="Q269" s="214" t="str">
        <f t="shared" si="2"/>
        <v>Medium</v>
      </c>
    </row>
    <row r="270" ht="15.75" customHeight="1">
      <c r="A270" s="214" t="s">
        <v>724</v>
      </c>
      <c r="B270" s="216">
        <v>7131.0</v>
      </c>
      <c r="C270" s="216">
        <v>718.0</v>
      </c>
      <c r="D270" s="217">
        <v>12.0</v>
      </c>
      <c r="E270" s="219" t="s">
        <v>157</v>
      </c>
      <c r="F270" s="219" t="s">
        <v>354</v>
      </c>
      <c r="G270" s="214" t="s">
        <v>392</v>
      </c>
      <c r="H270" s="221">
        <v>44328.0</v>
      </c>
      <c r="I270" s="219" t="s">
        <v>725</v>
      </c>
      <c r="J270" s="219" t="s">
        <v>223</v>
      </c>
      <c r="K270" s="219" t="s">
        <v>402</v>
      </c>
      <c r="L270" s="214" t="s">
        <v>443</v>
      </c>
      <c r="M270" s="222">
        <v>2021.0</v>
      </c>
      <c r="N270" s="214" t="s">
        <v>411</v>
      </c>
      <c r="O270" s="223">
        <v>2.0</v>
      </c>
      <c r="P270" s="224">
        <f t="shared" si="1"/>
        <v>0.1006871407</v>
      </c>
      <c r="Q270" s="214" t="str">
        <f t="shared" si="2"/>
        <v>High</v>
      </c>
    </row>
    <row r="271" ht="15.75" customHeight="1">
      <c r="A271" s="214" t="s">
        <v>724</v>
      </c>
      <c r="B271" s="216">
        <v>7131.0</v>
      </c>
      <c r="C271" s="216">
        <v>718.0</v>
      </c>
      <c r="D271" s="217">
        <v>12.0</v>
      </c>
      <c r="E271" s="219" t="s">
        <v>157</v>
      </c>
      <c r="F271" s="219" t="s">
        <v>354</v>
      </c>
      <c r="G271" s="214" t="s">
        <v>392</v>
      </c>
      <c r="H271" s="221">
        <v>45186.0</v>
      </c>
      <c r="I271" s="219" t="s">
        <v>726</v>
      </c>
      <c r="J271" s="219" t="s">
        <v>159</v>
      </c>
      <c r="K271" s="219" t="s">
        <v>552</v>
      </c>
      <c r="L271" s="214" t="s">
        <v>474</v>
      </c>
      <c r="M271" s="222">
        <v>2023.0</v>
      </c>
      <c r="N271" s="214" t="s">
        <v>536</v>
      </c>
      <c r="O271" s="223">
        <v>3.0</v>
      </c>
      <c r="P271" s="224">
        <f t="shared" si="1"/>
        <v>0.1006871407</v>
      </c>
      <c r="Q271" s="214" t="str">
        <f t="shared" si="2"/>
        <v>High</v>
      </c>
    </row>
    <row r="272" ht="15.75" customHeight="1">
      <c r="A272" s="214" t="s">
        <v>724</v>
      </c>
      <c r="B272" s="216">
        <v>4200.0</v>
      </c>
      <c r="C272" s="216">
        <v>855.0</v>
      </c>
      <c r="D272" s="217">
        <v>10.0</v>
      </c>
      <c r="E272" s="219" t="s">
        <v>242</v>
      </c>
      <c r="F272" s="219" t="s">
        <v>317</v>
      </c>
      <c r="G272" s="214" t="s">
        <v>406</v>
      </c>
      <c r="H272" s="221">
        <v>44328.0</v>
      </c>
      <c r="I272" s="219" t="s">
        <v>725</v>
      </c>
      <c r="J272" s="219" t="s">
        <v>223</v>
      </c>
      <c r="K272" s="219" t="s">
        <v>402</v>
      </c>
      <c r="L272" s="214" t="s">
        <v>443</v>
      </c>
      <c r="M272" s="222">
        <v>2021.0</v>
      </c>
      <c r="N272" s="214" t="s">
        <v>411</v>
      </c>
      <c r="O272" s="223">
        <v>2.0</v>
      </c>
      <c r="P272" s="224">
        <f t="shared" si="1"/>
        <v>0.2035714286</v>
      </c>
      <c r="Q272" s="214" t="str">
        <f t="shared" si="2"/>
        <v>Medium</v>
      </c>
    </row>
    <row r="273" ht="15.75" customHeight="1">
      <c r="A273" s="214" t="s">
        <v>724</v>
      </c>
      <c r="B273" s="216">
        <v>4200.0</v>
      </c>
      <c r="C273" s="216">
        <v>855.0</v>
      </c>
      <c r="D273" s="217">
        <v>10.0</v>
      </c>
      <c r="E273" s="219" t="s">
        <v>242</v>
      </c>
      <c r="F273" s="219" t="s">
        <v>317</v>
      </c>
      <c r="G273" s="214" t="s">
        <v>406</v>
      </c>
      <c r="H273" s="221">
        <v>45186.0</v>
      </c>
      <c r="I273" s="219" t="s">
        <v>726</v>
      </c>
      <c r="J273" s="219" t="s">
        <v>159</v>
      </c>
      <c r="K273" s="219" t="s">
        <v>552</v>
      </c>
      <c r="L273" s="214" t="s">
        <v>474</v>
      </c>
      <c r="M273" s="222">
        <v>2023.0</v>
      </c>
      <c r="N273" s="214" t="s">
        <v>536</v>
      </c>
      <c r="O273" s="223">
        <v>3.0</v>
      </c>
      <c r="P273" s="224">
        <f t="shared" si="1"/>
        <v>0.2035714286</v>
      </c>
      <c r="Q273" s="214" t="str">
        <f t="shared" si="2"/>
        <v>Medium</v>
      </c>
    </row>
    <row r="274" ht="15.75" customHeight="1">
      <c r="A274" s="214" t="s">
        <v>727</v>
      </c>
      <c r="B274" s="216">
        <v>5934.0</v>
      </c>
      <c r="C274" s="216">
        <v>1563.0</v>
      </c>
      <c r="D274" s="217">
        <v>2.0</v>
      </c>
      <c r="E274" s="219" t="s">
        <v>242</v>
      </c>
      <c r="F274" s="219" t="s">
        <v>317</v>
      </c>
      <c r="G274" s="214" t="s">
        <v>406</v>
      </c>
      <c r="H274" s="221">
        <v>45541.0</v>
      </c>
      <c r="I274" s="219" t="s">
        <v>728</v>
      </c>
      <c r="J274" s="219" t="s">
        <v>271</v>
      </c>
      <c r="K274" s="219" t="s">
        <v>568</v>
      </c>
      <c r="L274" s="214" t="s">
        <v>484</v>
      </c>
      <c r="M274" s="222">
        <v>2024.0</v>
      </c>
      <c r="N274" s="214" t="s">
        <v>536</v>
      </c>
      <c r="O274" s="223">
        <v>3.0</v>
      </c>
      <c r="P274" s="224">
        <f t="shared" si="1"/>
        <v>0.2633973711</v>
      </c>
      <c r="Q274" s="214" t="str">
        <f t="shared" si="2"/>
        <v>High</v>
      </c>
    </row>
    <row r="275" ht="15.75" customHeight="1">
      <c r="A275" s="214" t="s">
        <v>729</v>
      </c>
      <c r="B275" s="216">
        <v>2701.0</v>
      </c>
      <c r="C275" s="216">
        <v>322.0</v>
      </c>
      <c r="D275" s="217">
        <v>11.0</v>
      </c>
      <c r="E275" s="219" t="s">
        <v>157</v>
      </c>
      <c r="F275" s="219" t="s">
        <v>354</v>
      </c>
      <c r="G275" s="214" t="s">
        <v>392</v>
      </c>
      <c r="H275" s="221">
        <v>44730.0</v>
      </c>
      <c r="I275" s="219" t="s">
        <v>730</v>
      </c>
      <c r="J275" s="219" t="s">
        <v>223</v>
      </c>
      <c r="K275" s="219" t="s">
        <v>428</v>
      </c>
      <c r="L275" s="214" t="s">
        <v>458</v>
      </c>
      <c r="M275" s="222">
        <v>2022.0</v>
      </c>
      <c r="N275" s="214" t="s">
        <v>396</v>
      </c>
      <c r="O275" s="223">
        <v>2.0</v>
      </c>
      <c r="P275" s="224">
        <f t="shared" si="1"/>
        <v>0.1192151055</v>
      </c>
      <c r="Q275" s="214" t="str">
        <f t="shared" si="2"/>
        <v>Medium</v>
      </c>
    </row>
    <row r="276" ht="15.75" customHeight="1">
      <c r="A276" s="214" t="s">
        <v>729</v>
      </c>
      <c r="B276" s="216">
        <v>7273.0</v>
      </c>
      <c r="C276" s="216">
        <v>2702.0</v>
      </c>
      <c r="D276" s="217">
        <v>18.0</v>
      </c>
      <c r="E276" s="219" t="s">
        <v>242</v>
      </c>
      <c r="F276" s="219" t="s">
        <v>357</v>
      </c>
      <c r="G276" s="214" t="s">
        <v>405</v>
      </c>
      <c r="H276" s="221">
        <v>44730.0</v>
      </c>
      <c r="I276" s="219" t="s">
        <v>730</v>
      </c>
      <c r="J276" s="219" t="s">
        <v>223</v>
      </c>
      <c r="K276" s="219" t="s">
        <v>428</v>
      </c>
      <c r="L276" s="214" t="s">
        <v>458</v>
      </c>
      <c r="M276" s="222">
        <v>2022.0</v>
      </c>
      <c r="N276" s="214" t="s">
        <v>396</v>
      </c>
      <c r="O276" s="223">
        <v>2.0</v>
      </c>
      <c r="P276" s="224">
        <f t="shared" si="1"/>
        <v>0.3715110683</v>
      </c>
      <c r="Q276" s="214" t="str">
        <f t="shared" si="2"/>
        <v>High</v>
      </c>
    </row>
    <row r="277" ht="15.75" customHeight="1">
      <c r="A277" s="214" t="s">
        <v>731</v>
      </c>
      <c r="B277" s="216">
        <v>2465.0</v>
      </c>
      <c r="C277" s="216">
        <v>699.0</v>
      </c>
      <c r="D277" s="217">
        <v>18.0</v>
      </c>
      <c r="E277" s="219" t="s">
        <v>242</v>
      </c>
      <c r="F277" s="219" t="s">
        <v>317</v>
      </c>
      <c r="G277" s="214" t="s">
        <v>351</v>
      </c>
      <c r="H277" s="221">
        <v>43973.0</v>
      </c>
      <c r="I277" s="219" t="s">
        <v>732</v>
      </c>
      <c r="J277" s="219" t="s">
        <v>117</v>
      </c>
      <c r="K277" s="219" t="s">
        <v>508</v>
      </c>
      <c r="L277" s="214" t="s">
        <v>419</v>
      </c>
      <c r="M277" s="222">
        <v>2020.0</v>
      </c>
      <c r="N277" s="214" t="s">
        <v>411</v>
      </c>
      <c r="O277" s="223">
        <v>2.0</v>
      </c>
      <c r="P277" s="224">
        <f t="shared" si="1"/>
        <v>0.2835699797</v>
      </c>
      <c r="Q277" s="214" t="str">
        <f t="shared" si="2"/>
        <v>Medium</v>
      </c>
    </row>
    <row r="278" ht="15.75" customHeight="1">
      <c r="A278" s="214" t="s">
        <v>733</v>
      </c>
      <c r="B278" s="216">
        <v>3479.0</v>
      </c>
      <c r="C278" s="216">
        <v>1087.0</v>
      </c>
      <c r="D278" s="217">
        <v>2.0</v>
      </c>
      <c r="E278" s="219" t="s">
        <v>242</v>
      </c>
      <c r="F278" s="219" t="s">
        <v>317</v>
      </c>
      <c r="G278" s="214" t="s">
        <v>406</v>
      </c>
      <c r="H278" s="221">
        <v>45582.0</v>
      </c>
      <c r="I278" s="219" t="s">
        <v>734</v>
      </c>
      <c r="J278" s="219" t="s">
        <v>241</v>
      </c>
      <c r="K278" s="219" t="s">
        <v>493</v>
      </c>
      <c r="L278" s="214" t="s">
        <v>485</v>
      </c>
      <c r="M278" s="222">
        <v>2024.0</v>
      </c>
      <c r="N278" s="214" t="s">
        <v>414</v>
      </c>
      <c r="O278" s="223">
        <v>4.0</v>
      </c>
      <c r="P278" s="224">
        <f t="shared" si="1"/>
        <v>0.3124461052</v>
      </c>
      <c r="Q278" s="214" t="str">
        <f t="shared" si="2"/>
        <v>Medium</v>
      </c>
    </row>
    <row r="279" ht="15.75" customHeight="1">
      <c r="A279" s="214" t="s">
        <v>733</v>
      </c>
      <c r="B279" s="216">
        <v>5457.0</v>
      </c>
      <c r="C279" s="216">
        <v>1765.0</v>
      </c>
      <c r="D279" s="217">
        <v>7.0</v>
      </c>
      <c r="E279" s="219" t="s">
        <v>157</v>
      </c>
      <c r="F279" s="219" t="s">
        <v>354</v>
      </c>
      <c r="G279" s="214" t="s">
        <v>406</v>
      </c>
      <c r="H279" s="221">
        <v>45582.0</v>
      </c>
      <c r="I279" s="219" t="s">
        <v>734</v>
      </c>
      <c r="J279" s="219" t="s">
        <v>241</v>
      </c>
      <c r="K279" s="219" t="s">
        <v>493</v>
      </c>
      <c r="L279" s="214" t="s">
        <v>485</v>
      </c>
      <c r="M279" s="222">
        <v>2024.0</v>
      </c>
      <c r="N279" s="214" t="s">
        <v>414</v>
      </c>
      <c r="O279" s="223">
        <v>4.0</v>
      </c>
      <c r="P279" s="224">
        <f t="shared" si="1"/>
        <v>0.3234377863</v>
      </c>
      <c r="Q279" s="214" t="str">
        <f t="shared" si="2"/>
        <v>High</v>
      </c>
    </row>
    <row r="280" ht="15.75" customHeight="1">
      <c r="A280" s="214" t="s">
        <v>735</v>
      </c>
      <c r="B280" s="216">
        <v>4957.0</v>
      </c>
      <c r="C280" s="216">
        <v>1152.0</v>
      </c>
      <c r="D280" s="217">
        <v>8.0</v>
      </c>
      <c r="E280" s="219" t="s">
        <v>242</v>
      </c>
      <c r="F280" s="219" t="s">
        <v>317</v>
      </c>
      <c r="G280" s="214" t="s">
        <v>350</v>
      </c>
      <c r="H280" s="221">
        <v>44642.0</v>
      </c>
      <c r="I280" s="219" t="s">
        <v>736</v>
      </c>
      <c r="J280" s="219" t="s">
        <v>313</v>
      </c>
      <c r="K280" s="219" t="s">
        <v>526</v>
      </c>
      <c r="L280" s="214" t="s">
        <v>455</v>
      </c>
      <c r="M280" s="222">
        <v>2022.0</v>
      </c>
      <c r="N280" s="214" t="s">
        <v>433</v>
      </c>
      <c r="O280" s="223">
        <v>1.0</v>
      </c>
      <c r="P280" s="224">
        <f t="shared" si="1"/>
        <v>0.2323986282</v>
      </c>
      <c r="Q280" s="214" t="str">
        <f t="shared" si="2"/>
        <v>Medium</v>
      </c>
    </row>
    <row r="281" ht="15.75" customHeight="1">
      <c r="A281" s="214" t="s">
        <v>737</v>
      </c>
      <c r="B281" s="216">
        <v>4404.0</v>
      </c>
      <c r="C281" s="216">
        <v>858.0</v>
      </c>
      <c r="D281" s="217">
        <v>17.0</v>
      </c>
      <c r="E281" s="219" t="s">
        <v>242</v>
      </c>
      <c r="F281" s="219" t="s">
        <v>356</v>
      </c>
      <c r="G281" s="214" t="s">
        <v>351</v>
      </c>
      <c r="H281" s="221">
        <v>45368.0</v>
      </c>
      <c r="I281" s="219" t="s">
        <v>738</v>
      </c>
      <c r="J281" s="219" t="s">
        <v>313</v>
      </c>
      <c r="K281" s="219" t="s">
        <v>512</v>
      </c>
      <c r="L281" s="214" t="s">
        <v>479</v>
      </c>
      <c r="M281" s="222">
        <v>2024.0</v>
      </c>
      <c r="N281" s="214" t="s">
        <v>433</v>
      </c>
      <c r="O281" s="223">
        <v>1.0</v>
      </c>
      <c r="P281" s="224">
        <f t="shared" si="1"/>
        <v>0.1948228883</v>
      </c>
      <c r="Q281" s="214" t="str">
        <f t="shared" si="2"/>
        <v>Medium</v>
      </c>
    </row>
    <row r="282" ht="15.75" customHeight="1">
      <c r="A282" s="214" t="s">
        <v>737</v>
      </c>
      <c r="B282" s="216">
        <v>8776.0</v>
      </c>
      <c r="C282" s="216">
        <v>2529.0</v>
      </c>
      <c r="D282" s="217">
        <v>15.0</v>
      </c>
      <c r="E282" s="219" t="s">
        <v>216</v>
      </c>
      <c r="F282" s="219" t="s">
        <v>347</v>
      </c>
      <c r="G282" s="214" t="s">
        <v>350</v>
      </c>
      <c r="H282" s="221">
        <v>45368.0</v>
      </c>
      <c r="I282" s="219" t="s">
        <v>738</v>
      </c>
      <c r="J282" s="219" t="s">
        <v>313</v>
      </c>
      <c r="K282" s="219" t="s">
        <v>512</v>
      </c>
      <c r="L282" s="214" t="s">
        <v>479</v>
      </c>
      <c r="M282" s="222">
        <v>2024.0</v>
      </c>
      <c r="N282" s="214" t="s">
        <v>433</v>
      </c>
      <c r="O282" s="223">
        <v>1.0</v>
      </c>
      <c r="P282" s="224">
        <f t="shared" si="1"/>
        <v>0.2881722881</v>
      </c>
      <c r="Q282" s="214" t="str">
        <f t="shared" si="2"/>
        <v>High</v>
      </c>
    </row>
    <row r="283" ht="15.75" customHeight="1">
      <c r="A283" s="214" t="s">
        <v>739</v>
      </c>
      <c r="B283" s="216">
        <v>9536.0</v>
      </c>
      <c r="C283" s="216">
        <v>1437.0</v>
      </c>
      <c r="D283" s="217">
        <v>9.0</v>
      </c>
      <c r="E283" s="219" t="s">
        <v>157</v>
      </c>
      <c r="F283" s="219" t="s">
        <v>358</v>
      </c>
      <c r="G283" s="214" t="s">
        <v>392</v>
      </c>
      <c r="H283" s="221">
        <v>43923.0</v>
      </c>
      <c r="I283" s="219" t="s">
        <v>740</v>
      </c>
      <c r="J283" s="219" t="s">
        <v>159</v>
      </c>
      <c r="K283" s="219" t="s">
        <v>409</v>
      </c>
      <c r="L283" s="214" t="s">
        <v>418</v>
      </c>
      <c r="M283" s="222">
        <v>2020.0</v>
      </c>
      <c r="N283" s="214" t="s">
        <v>542</v>
      </c>
      <c r="O283" s="223">
        <v>2.0</v>
      </c>
      <c r="P283" s="224">
        <f t="shared" si="1"/>
        <v>0.1506921141</v>
      </c>
      <c r="Q283" s="214" t="str">
        <f t="shared" si="2"/>
        <v>High</v>
      </c>
    </row>
    <row r="284" ht="15.75" customHeight="1">
      <c r="A284" s="214" t="s">
        <v>739</v>
      </c>
      <c r="B284" s="216">
        <v>2225.0</v>
      </c>
      <c r="C284" s="216">
        <v>589.0</v>
      </c>
      <c r="D284" s="217">
        <v>7.0</v>
      </c>
      <c r="E284" s="219" t="s">
        <v>216</v>
      </c>
      <c r="F284" s="219" t="s">
        <v>347</v>
      </c>
      <c r="G284" s="214" t="s">
        <v>350</v>
      </c>
      <c r="H284" s="221">
        <v>43923.0</v>
      </c>
      <c r="I284" s="219" t="s">
        <v>740</v>
      </c>
      <c r="J284" s="219" t="s">
        <v>159</v>
      </c>
      <c r="K284" s="219" t="s">
        <v>409</v>
      </c>
      <c r="L284" s="214" t="s">
        <v>418</v>
      </c>
      <c r="M284" s="222">
        <v>2020.0</v>
      </c>
      <c r="N284" s="214" t="s">
        <v>542</v>
      </c>
      <c r="O284" s="223">
        <v>2.0</v>
      </c>
      <c r="P284" s="224">
        <f t="shared" si="1"/>
        <v>0.2647191011</v>
      </c>
      <c r="Q284" s="214" t="str">
        <f t="shared" si="2"/>
        <v>Medium</v>
      </c>
    </row>
    <row r="285" ht="15.75" customHeight="1">
      <c r="A285" s="214" t="s">
        <v>741</v>
      </c>
      <c r="B285" s="216">
        <v>9574.0</v>
      </c>
      <c r="C285" s="216">
        <v>4045.0</v>
      </c>
      <c r="D285" s="217">
        <v>19.0</v>
      </c>
      <c r="E285" s="219" t="s">
        <v>216</v>
      </c>
      <c r="F285" s="219" t="s">
        <v>361</v>
      </c>
      <c r="G285" s="214" t="s">
        <v>392</v>
      </c>
      <c r="H285" s="221">
        <v>45364.0</v>
      </c>
      <c r="I285" s="219" t="s">
        <v>742</v>
      </c>
      <c r="J285" s="219" t="s">
        <v>117</v>
      </c>
      <c r="K285" s="219" t="s">
        <v>508</v>
      </c>
      <c r="L285" s="214" t="s">
        <v>479</v>
      </c>
      <c r="M285" s="222">
        <v>2024.0</v>
      </c>
      <c r="N285" s="214" t="s">
        <v>433</v>
      </c>
      <c r="O285" s="223">
        <v>1.0</v>
      </c>
      <c r="P285" s="224">
        <f t="shared" si="1"/>
        <v>0.4224984333</v>
      </c>
      <c r="Q285" s="214" t="str">
        <f t="shared" si="2"/>
        <v>High</v>
      </c>
    </row>
    <row r="286" ht="15.75" customHeight="1">
      <c r="A286" s="214" t="s">
        <v>741</v>
      </c>
      <c r="B286" s="216">
        <v>4382.0</v>
      </c>
      <c r="C286" s="216">
        <v>482.0</v>
      </c>
      <c r="D286" s="217">
        <v>17.0</v>
      </c>
      <c r="E286" s="219" t="s">
        <v>157</v>
      </c>
      <c r="F286" s="219" t="s">
        <v>355</v>
      </c>
      <c r="G286" s="214" t="s">
        <v>405</v>
      </c>
      <c r="H286" s="221">
        <v>45364.0</v>
      </c>
      <c r="I286" s="219" t="s">
        <v>742</v>
      </c>
      <c r="J286" s="219" t="s">
        <v>117</v>
      </c>
      <c r="K286" s="219" t="s">
        <v>508</v>
      </c>
      <c r="L286" s="214" t="s">
        <v>479</v>
      </c>
      <c r="M286" s="222">
        <v>2024.0</v>
      </c>
      <c r="N286" s="214" t="s">
        <v>433</v>
      </c>
      <c r="O286" s="223">
        <v>1.0</v>
      </c>
      <c r="P286" s="224">
        <f t="shared" si="1"/>
        <v>0.1099954359</v>
      </c>
      <c r="Q286" s="214" t="str">
        <f t="shared" si="2"/>
        <v>Medium</v>
      </c>
    </row>
    <row r="287" ht="15.75" customHeight="1">
      <c r="A287" s="214" t="s">
        <v>743</v>
      </c>
      <c r="B287" s="216">
        <v>8200.0</v>
      </c>
      <c r="C287" s="216">
        <v>257.0</v>
      </c>
      <c r="D287" s="217">
        <v>19.0</v>
      </c>
      <c r="E287" s="219" t="s">
        <v>157</v>
      </c>
      <c r="F287" s="219" t="s">
        <v>360</v>
      </c>
      <c r="G287" s="214" t="s">
        <v>405</v>
      </c>
      <c r="H287" s="221">
        <v>45006.0</v>
      </c>
      <c r="I287" s="219" t="s">
        <v>744</v>
      </c>
      <c r="J287" s="219" t="s">
        <v>313</v>
      </c>
      <c r="K287" s="219" t="s">
        <v>518</v>
      </c>
      <c r="L287" s="214" t="s">
        <v>467</v>
      </c>
      <c r="M287" s="222">
        <v>2023.0</v>
      </c>
      <c r="N287" s="214" t="s">
        <v>433</v>
      </c>
      <c r="O287" s="223">
        <v>1.0</v>
      </c>
      <c r="P287" s="224">
        <f t="shared" si="1"/>
        <v>0.03134146341</v>
      </c>
      <c r="Q287" s="214" t="str">
        <f t="shared" si="2"/>
        <v>High</v>
      </c>
    </row>
    <row r="288" ht="15.75" customHeight="1">
      <c r="A288" s="214" t="s">
        <v>743</v>
      </c>
      <c r="B288" s="216">
        <v>9316.0</v>
      </c>
      <c r="C288" s="216">
        <v>3003.0</v>
      </c>
      <c r="D288" s="217">
        <v>13.0</v>
      </c>
      <c r="E288" s="219" t="s">
        <v>216</v>
      </c>
      <c r="F288" s="219" t="s">
        <v>347</v>
      </c>
      <c r="G288" s="214" t="s">
        <v>350</v>
      </c>
      <c r="H288" s="221">
        <v>45006.0</v>
      </c>
      <c r="I288" s="219" t="s">
        <v>744</v>
      </c>
      <c r="J288" s="219" t="s">
        <v>313</v>
      </c>
      <c r="K288" s="219" t="s">
        <v>518</v>
      </c>
      <c r="L288" s="214" t="s">
        <v>467</v>
      </c>
      <c r="M288" s="222">
        <v>2023.0</v>
      </c>
      <c r="N288" s="214" t="s">
        <v>433</v>
      </c>
      <c r="O288" s="223">
        <v>1.0</v>
      </c>
      <c r="P288" s="224">
        <f t="shared" si="1"/>
        <v>0.3223486475</v>
      </c>
      <c r="Q288" s="214" t="str">
        <f t="shared" si="2"/>
        <v>High</v>
      </c>
    </row>
    <row r="289" ht="15.75" customHeight="1">
      <c r="A289" s="214" t="s">
        <v>743</v>
      </c>
      <c r="B289" s="216">
        <v>6379.0</v>
      </c>
      <c r="C289" s="216">
        <v>3128.0</v>
      </c>
      <c r="D289" s="217">
        <v>15.0</v>
      </c>
      <c r="E289" s="219" t="s">
        <v>157</v>
      </c>
      <c r="F289" s="219" t="s">
        <v>355</v>
      </c>
      <c r="G289" s="214" t="s">
        <v>405</v>
      </c>
      <c r="H289" s="221">
        <v>45006.0</v>
      </c>
      <c r="I289" s="219" t="s">
        <v>744</v>
      </c>
      <c r="J289" s="219" t="s">
        <v>313</v>
      </c>
      <c r="K289" s="219" t="s">
        <v>518</v>
      </c>
      <c r="L289" s="214" t="s">
        <v>467</v>
      </c>
      <c r="M289" s="222">
        <v>2023.0</v>
      </c>
      <c r="N289" s="214" t="s">
        <v>433</v>
      </c>
      <c r="O289" s="223">
        <v>1.0</v>
      </c>
      <c r="P289" s="224">
        <f t="shared" si="1"/>
        <v>0.4903589904</v>
      </c>
      <c r="Q289" s="214" t="str">
        <f t="shared" si="2"/>
        <v>High</v>
      </c>
    </row>
    <row r="290" ht="15.75" customHeight="1">
      <c r="A290" s="214" t="s">
        <v>745</v>
      </c>
      <c r="B290" s="216">
        <v>3348.0</v>
      </c>
      <c r="C290" s="216">
        <v>568.0</v>
      </c>
      <c r="D290" s="217">
        <v>5.0</v>
      </c>
      <c r="E290" s="219" t="s">
        <v>242</v>
      </c>
      <c r="F290" s="219" t="s">
        <v>317</v>
      </c>
      <c r="G290" s="214" t="s">
        <v>350</v>
      </c>
      <c r="H290" s="221">
        <v>45353.0</v>
      </c>
      <c r="I290" s="219" t="s">
        <v>746</v>
      </c>
      <c r="J290" s="219" t="s">
        <v>313</v>
      </c>
      <c r="K290" s="219" t="s">
        <v>526</v>
      </c>
      <c r="L290" s="214" t="s">
        <v>479</v>
      </c>
      <c r="M290" s="222">
        <v>2024.0</v>
      </c>
      <c r="N290" s="214" t="s">
        <v>433</v>
      </c>
      <c r="O290" s="223">
        <v>1.0</v>
      </c>
      <c r="P290" s="224">
        <f t="shared" si="1"/>
        <v>0.1696535245</v>
      </c>
      <c r="Q290" s="214" t="str">
        <f t="shared" si="2"/>
        <v>Medium</v>
      </c>
    </row>
    <row r="291" ht="15.75" customHeight="1">
      <c r="A291" s="214" t="s">
        <v>745</v>
      </c>
      <c r="B291" s="216">
        <v>3348.0</v>
      </c>
      <c r="C291" s="216">
        <v>568.0</v>
      </c>
      <c r="D291" s="217">
        <v>5.0</v>
      </c>
      <c r="E291" s="219" t="s">
        <v>242</v>
      </c>
      <c r="F291" s="219" t="s">
        <v>317</v>
      </c>
      <c r="G291" s="214" t="s">
        <v>350</v>
      </c>
      <c r="H291" s="221">
        <v>44316.0</v>
      </c>
      <c r="I291" s="219" t="s">
        <v>747</v>
      </c>
      <c r="J291" s="219" t="s">
        <v>223</v>
      </c>
      <c r="K291" s="219" t="s">
        <v>473</v>
      </c>
      <c r="L291" s="214" t="s">
        <v>442</v>
      </c>
      <c r="M291" s="222">
        <v>2021.0</v>
      </c>
      <c r="N291" s="214" t="s">
        <v>542</v>
      </c>
      <c r="O291" s="223">
        <v>2.0</v>
      </c>
      <c r="P291" s="224">
        <f t="shared" si="1"/>
        <v>0.1696535245</v>
      </c>
      <c r="Q291" s="214" t="str">
        <f t="shared" si="2"/>
        <v>Medium</v>
      </c>
    </row>
    <row r="292" ht="15.75" customHeight="1">
      <c r="A292" s="214" t="s">
        <v>745</v>
      </c>
      <c r="B292" s="216">
        <v>8856.0</v>
      </c>
      <c r="C292" s="216">
        <v>2020.0</v>
      </c>
      <c r="D292" s="217">
        <v>9.0</v>
      </c>
      <c r="E292" s="219" t="s">
        <v>242</v>
      </c>
      <c r="F292" s="219" t="s">
        <v>356</v>
      </c>
      <c r="G292" s="214" t="s">
        <v>351</v>
      </c>
      <c r="H292" s="221">
        <v>45353.0</v>
      </c>
      <c r="I292" s="219" t="s">
        <v>746</v>
      </c>
      <c r="J292" s="219" t="s">
        <v>313</v>
      </c>
      <c r="K292" s="219" t="s">
        <v>526</v>
      </c>
      <c r="L292" s="214" t="s">
        <v>479</v>
      </c>
      <c r="M292" s="222">
        <v>2024.0</v>
      </c>
      <c r="N292" s="214" t="s">
        <v>433</v>
      </c>
      <c r="O292" s="223">
        <v>1.0</v>
      </c>
      <c r="P292" s="224">
        <f t="shared" si="1"/>
        <v>0.2280939476</v>
      </c>
      <c r="Q292" s="214" t="str">
        <f t="shared" si="2"/>
        <v>High</v>
      </c>
    </row>
    <row r="293" ht="15.75" customHeight="1">
      <c r="A293" s="214" t="s">
        <v>745</v>
      </c>
      <c r="B293" s="216">
        <v>8856.0</v>
      </c>
      <c r="C293" s="216">
        <v>2020.0</v>
      </c>
      <c r="D293" s="217">
        <v>9.0</v>
      </c>
      <c r="E293" s="219" t="s">
        <v>242</v>
      </c>
      <c r="F293" s="219" t="s">
        <v>356</v>
      </c>
      <c r="G293" s="214" t="s">
        <v>351</v>
      </c>
      <c r="H293" s="221">
        <v>44316.0</v>
      </c>
      <c r="I293" s="219" t="s">
        <v>747</v>
      </c>
      <c r="J293" s="219" t="s">
        <v>223</v>
      </c>
      <c r="K293" s="219" t="s">
        <v>473</v>
      </c>
      <c r="L293" s="214" t="s">
        <v>442</v>
      </c>
      <c r="M293" s="222">
        <v>2021.0</v>
      </c>
      <c r="N293" s="214" t="s">
        <v>542</v>
      </c>
      <c r="O293" s="223">
        <v>2.0</v>
      </c>
      <c r="P293" s="224">
        <f t="shared" si="1"/>
        <v>0.2280939476</v>
      </c>
      <c r="Q293" s="214" t="str">
        <f t="shared" si="2"/>
        <v>High</v>
      </c>
    </row>
    <row r="294" ht="15.75" customHeight="1">
      <c r="A294" s="214" t="s">
        <v>748</v>
      </c>
      <c r="B294" s="216">
        <v>1760.0</v>
      </c>
      <c r="C294" s="216">
        <v>619.0</v>
      </c>
      <c r="D294" s="217">
        <v>16.0</v>
      </c>
      <c r="E294" s="219" t="s">
        <v>216</v>
      </c>
      <c r="F294" s="219" t="s">
        <v>347</v>
      </c>
      <c r="G294" s="214" t="s">
        <v>351</v>
      </c>
      <c r="H294" s="221">
        <v>44454.0</v>
      </c>
      <c r="I294" s="219" t="s">
        <v>749</v>
      </c>
      <c r="J294" s="219" t="s">
        <v>313</v>
      </c>
      <c r="K294" s="219" t="s">
        <v>512</v>
      </c>
      <c r="L294" s="214" t="s">
        <v>450</v>
      </c>
      <c r="M294" s="222">
        <v>2021.0</v>
      </c>
      <c r="N294" s="214" t="s">
        <v>536</v>
      </c>
      <c r="O294" s="223">
        <v>3.0</v>
      </c>
      <c r="P294" s="224">
        <f t="shared" si="1"/>
        <v>0.3517045455</v>
      </c>
      <c r="Q294" s="214" t="str">
        <f t="shared" si="2"/>
        <v>Medium</v>
      </c>
    </row>
    <row r="295" ht="15.75" customHeight="1">
      <c r="A295" s="214" t="s">
        <v>748</v>
      </c>
      <c r="B295" s="216">
        <v>1760.0</v>
      </c>
      <c r="C295" s="216">
        <v>619.0</v>
      </c>
      <c r="D295" s="217">
        <v>16.0</v>
      </c>
      <c r="E295" s="219" t="s">
        <v>216</v>
      </c>
      <c r="F295" s="219" t="s">
        <v>347</v>
      </c>
      <c r="G295" s="214" t="s">
        <v>351</v>
      </c>
      <c r="H295" s="221">
        <v>44954.0</v>
      </c>
      <c r="I295" s="219" t="s">
        <v>750</v>
      </c>
      <c r="J295" s="219" t="s">
        <v>241</v>
      </c>
      <c r="K295" s="219" t="s">
        <v>541</v>
      </c>
      <c r="L295" s="214" t="s">
        <v>465</v>
      </c>
      <c r="M295" s="222">
        <v>2023.0</v>
      </c>
      <c r="N295" s="214" t="s">
        <v>497</v>
      </c>
      <c r="O295" s="223">
        <v>1.0</v>
      </c>
      <c r="P295" s="224">
        <f t="shared" si="1"/>
        <v>0.3517045455</v>
      </c>
      <c r="Q295" s="214" t="str">
        <f t="shared" si="2"/>
        <v>Medium</v>
      </c>
    </row>
    <row r="296" ht="15.75" customHeight="1">
      <c r="A296" s="214" t="s">
        <v>748</v>
      </c>
      <c r="B296" s="216">
        <v>6351.0</v>
      </c>
      <c r="C296" s="216">
        <v>986.0</v>
      </c>
      <c r="D296" s="217">
        <v>15.0</v>
      </c>
      <c r="E296" s="219" t="s">
        <v>157</v>
      </c>
      <c r="F296" s="219" t="s">
        <v>354</v>
      </c>
      <c r="G296" s="214" t="s">
        <v>392</v>
      </c>
      <c r="H296" s="221">
        <v>44454.0</v>
      </c>
      <c r="I296" s="219" t="s">
        <v>749</v>
      </c>
      <c r="J296" s="219" t="s">
        <v>313</v>
      </c>
      <c r="K296" s="219" t="s">
        <v>512</v>
      </c>
      <c r="L296" s="214" t="s">
        <v>450</v>
      </c>
      <c r="M296" s="222">
        <v>2021.0</v>
      </c>
      <c r="N296" s="214" t="s">
        <v>536</v>
      </c>
      <c r="O296" s="223">
        <v>3.0</v>
      </c>
      <c r="P296" s="224">
        <f t="shared" si="1"/>
        <v>0.1552511416</v>
      </c>
      <c r="Q296" s="214" t="str">
        <f t="shared" si="2"/>
        <v>High</v>
      </c>
    </row>
    <row r="297" ht="15.75" customHeight="1">
      <c r="A297" s="214" t="s">
        <v>748</v>
      </c>
      <c r="B297" s="216">
        <v>6351.0</v>
      </c>
      <c r="C297" s="216">
        <v>986.0</v>
      </c>
      <c r="D297" s="217">
        <v>15.0</v>
      </c>
      <c r="E297" s="219" t="s">
        <v>157</v>
      </c>
      <c r="F297" s="219" t="s">
        <v>354</v>
      </c>
      <c r="G297" s="214" t="s">
        <v>392</v>
      </c>
      <c r="H297" s="221">
        <v>44954.0</v>
      </c>
      <c r="I297" s="219" t="s">
        <v>750</v>
      </c>
      <c r="J297" s="219" t="s">
        <v>241</v>
      </c>
      <c r="K297" s="219" t="s">
        <v>541</v>
      </c>
      <c r="L297" s="214" t="s">
        <v>465</v>
      </c>
      <c r="M297" s="222">
        <v>2023.0</v>
      </c>
      <c r="N297" s="214" t="s">
        <v>497</v>
      </c>
      <c r="O297" s="223">
        <v>1.0</v>
      </c>
      <c r="P297" s="224">
        <f t="shared" si="1"/>
        <v>0.1552511416</v>
      </c>
      <c r="Q297" s="214" t="str">
        <f t="shared" si="2"/>
        <v>High</v>
      </c>
    </row>
    <row r="298" ht="15.75" customHeight="1">
      <c r="A298" s="214" t="s">
        <v>751</v>
      </c>
      <c r="B298" s="216">
        <v>869.0</v>
      </c>
      <c r="C298" s="216">
        <v>373.0</v>
      </c>
      <c r="D298" s="217">
        <v>14.0</v>
      </c>
      <c r="E298" s="219" t="s">
        <v>242</v>
      </c>
      <c r="F298" s="219" t="s">
        <v>357</v>
      </c>
      <c r="G298" s="214" t="s">
        <v>350</v>
      </c>
      <c r="H298" s="221">
        <v>44385.0</v>
      </c>
      <c r="I298" s="219" t="s">
        <v>752</v>
      </c>
      <c r="J298" s="219" t="s">
        <v>223</v>
      </c>
      <c r="K298" s="219" t="s">
        <v>428</v>
      </c>
      <c r="L298" s="214" t="s">
        <v>403</v>
      </c>
      <c r="M298" s="222">
        <v>2021.0</v>
      </c>
      <c r="N298" s="214" t="s">
        <v>404</v>
      </c>
      <c r="O298" s="223">
        <v>3.0</v>
      </c>
      <c r="P298" s="224">
        <f t="shared" si="1"/>
        <v>0.4292289988</v>
      </c>
      <c r="Q298" s="214" t="str">
        <f t="shared" si="2"/>
        <v>Medium</v>
      </c>
    </row>
    <row r="299" ht="15.75" customHeight="1">
      <c r="A299" s="214" t="s">
        <v>751</v>
      </c>
      <c r="B299" s="216">
        <v>869.0</v>
      </c>
      <c r="C299" s="216">
        <v>373.0</v>
      </c>
      <c r="D299" s="217">
        <v>14.0</v>
      </c>
      <c r="E299" s="219" t="s">
        <v>242</v>
      </c>
      <c r="F299" s="219" t="s">
        <v>357</v>
      </c>
      <c r="G299" s="214" t="s">
        <v>350</v>
      </c>
      <c r="H299" s="221">
        <v>43929.0</v>
      </c>
      <c r="I299" s="219" t="s">
        <v>753</v>
      </c>
      <c r="J299" s="219" t="s">
        <v>313</v>
      </c>
      <c r="K299" s="219" t="s">
        <v>526</v>
      </c>
      <c r="L299" s="214" t="s">
        <v>418</v>
      </c>
      <c r="M299" s="222">
        <v>2020.0</v>
      </c>
      <c r="N299" s="214" t="s">
        <v>542</v>
      </c>
      <c r="O299" s="223">
        <v>2.0</v>
      </c>
      <c r="P299" s="224">
        <f t="shared" si="1"/>
        <v>0.4292289988</v>
      </c>
      <c r="Q299" s="214" t="str">
        <f t="shared" si="2"/>
        <v>Medium</v>
      </c>
    </row>
    <row r="300" ht="15.75" customHeight="1">
      <c r="A300" s="214" t="s">
        <v>751</v>
      </c>
      <c r="B300" s="216">
        <v>1486.0</v>
      </c>
      <c r="C300" s="216">
        <v>114.0</v>
      </c>
      <c r="D300" s="217">
        <v>7.0</v>
      </c>
      <c r="E300" s="219" t="s">
        <v>216</v>
      </c>
      <c r="F300" s="219" t="s">
        <v>361</v>
      </c>
      <c r="G300" s="214" t="s">
        <v>392</v>
      </c>
      <c r="H300" s="221">
        <v>44385.0</v>
      </c>
      <c r="I300" s="219" t="s">
        <v>752</v>
      </c>
      <c r="J300" s="219" t="s">
        <v>223</v>
      </c>
      <c r="K300" s="219" t="s">
        <v>428</v>
      </c>
      <c r="L300" s="214" t="s">
        <v>403</v>
      </c>
      <c r="M300" s="222">
        <v>2021.0</v>
      </c>
      <c r="N300" s="214" t="s">
        <v>404</v>
      </c>
      <c r="O300" s="223">
        <v>3.0</v>
      </c>
      <c r="P300" s="224">
        <f t="shared" si="1"/>
        <v>0.07671601615</v>
      </c>
      <c r="Q300" s="214" t="str">
        <f t="shared" si="2"/>
        <v>Medium</v>
      </c>
    </row>
    <row r="301" ht="15.75" customHeight="1">
      <c r="A301" s="214" t="s">
        <v>751</v>
      </c>
      <c r="B301" s="216">
        <v>1486.0</v>
      </c>
      <c r="C301" s="216">
        <v>114.0</v>
      </c>
      <c r="D301" s="217">
        <v>7.0</v>
      </c>
      <c r="E301" s="219" t="s">
        <v>216</v>
      </c>
      <c r="F301" s="219" t="s">
        <v>361</v>
      </c>
      <c r="G301" s="214" t="s">
        <v>392</v>
      </c>
      <c r="H301" s="221">
        <v>43929.0</v>
      </c>
      <c r="I301" s="219" t="s">
        <v>753</v>
      </c>
      <c r="J301" s="219" t="s">
        <v>313</v>
      </c>
      <c r="K301" s="219" t="s">
        <v>526</v>
      </c>
      <c r="L301" s="214" t="s">
        <v>418</v>
      </c>
      <c r="M301" s="222">
        <v>2020.0</v>
      </c>
      <c r="N301" s="214" t="s">
        <v>542</v>
      </c>
      <c r="O301" s="223">
        <v>2.0</v>
      </c>
      <c r="P301" s="224">
        <f t="shared" si="1"/>
        <v>0.07671601615</v>
      </c>
      <c r="Q301" s="214" t="str">
        <f t="shared" si="2"/>
        <v>Medium</v>
      </c>
    </row>
    <row r="302" ht="15.75" customHeight="1">
      <c r="A302" s="214" t="s">
        <v>754</v>
      </c>
      <c r="B302" s="216">
        <v>2999.0</v>
      </c>
      <c r="C302" s="216">
        <v>145.0</v>
      </c>
      <c r="D302" s="217">
        <v>13.0</v>
      </c>
      <c r="E302" s="219" t="s">
        <v>242</v>
      </c>
      <c r="F302" s="219" t="s">
        <v>362</v>
      </c>
      <c r="G302" s="214" t="s">
        <v>405</v>
      </c>
      <c r="H302" s="221">
        <v>44796.0</v>
      </c>
      <c r="I302" s="219" t="s">
        <v>755</v>
      </c>
      <c r="J302" s="219" t="s">
        <v>271</v>
      </c>
      <c r="K302" s="219" t="s">
        <v>398</v>
      </c>
      <c r="L302" s="214" t="s">
        <v>461</v>
      </c>
      <c r="M302" s="222">
        <v>2022.0</v>
      </c>
      <c r="N302" s="214" t="s">
        <v>523</v>
      </c>
      <c r="O302" s="223">
        <v>3.0</v>
      </c>
      <c r="P302" s="224">
        <f t="shared" si="1"/>
        <v>0.04834944982</v>
      </c>
      <c r="Q302" s="214" t="str">
        <f t="shared" si="2"/>
        <v>Medium</v>
      </c>
    </row>
    <row r="303" ht="15.75" customHeight="1">
      <c r="A303" s="214" t="s">
        <v>754</v>
      </c>
      <c r="B303" s="216">
        <v>5142.0</v>
      </c>
      <c r="C303" s="216">
        <v>1916.0</v>
      </c>
      <c r="D303" s="217">
        <v>20.0</v>
      </c>
      <c r="E303" s="219" t="s">
        <v>242</v>
      </c>
      <c r="F303" s="219" t="s">
        <v>357</v>
      </c>
      <c r="G303" s="214" t="s">
        <v>406</v>
      </c>
      <c r="H303" s="221">
        <v>44796.0</v>
      </c>
      <c r="I303" s="219" t="s">
        <v>755</v>
      </c>
      <c r="J303" s="219" t="s">
        <v>271</v>
      </c>
      <c r="K303" s="219" t="s">
        <v>398</v>
      </c>
      <c r="L303" s="214" t="s">
        <v>461</v>
      </c>
      <c r="M303" s="222">
        <v>2022.0</v>
      </c>
      <c r="N303" s="214" t="s">
        <v>523</v>
      </c>
      <c r="O303" s="223">
        <v>3.0</v>
      </c>
      <c r="P303" s="224">
        <f t="shared" si="1"/>
        <v>0.3726176585</v>
      </c>
      <c r="Q303" s="214" t="str">
        <f t="shared" si="2"/>
        <v>High</v>
      </c>
    </row>
    <row r="304" ht="15.75" customHeight="1">
      <c r="A304" s="214" t="s">
        <v>756</v>
      </c>
      <c r="B304" s="216">
        <v>1239.0</v>
      </c>
      <c r="C304" s="216">
        <v>575.0</v>
      </c>
      <c r="D304" s="217">
        <v>17.0</v>
      </c>
      <c r="E304" s="219" t="s">
        <v>157</v>
      </c>
      <c r="F304" s="219" t="s">
        <v>360</v>
      </c>
      <c r="G304" s="214" t="s">
        <v>392</v>
      </c>
      <c r="H304" s="221">
        <v>44912.0</v>
      </c>
      <c r="I304" s="219" t="s">
        <v>757</v>
      </c>
      <c r="J304" s="219" t="s">
        <v>223</v>
      </c>
      <c r="K304" s="219" t="s">
        <v>473</v>
      </c>
      <c r="L304" s="214" t="s">
        <v>464</v>
      </c>
      <c r="M304" s="222">
        <v>2022.0</v>
      </c>
      <c r="N304" s="214" t="s">
        <v>400</v>
      </c>
      <c r="O304" s="223">
        <v>4.0</v>
      </c>
      <c r="P304" s="224">
        <f t="shared" si="1"/>
        <v>0.4640839387</v>
      </c>
      <c r="Q304" s="214" t="str">
        <f t="shared" si="2"/>
        <v>Medium</v>
      </c>
    </row>
    <row r="305" ht="15.75" customHeight="1">
      <c r="A305" s="214" t="s">
        <v>756</v>
      </c>
      <c r="B305" s="216">
        <v>1239.0</v>
      </c>
      <c r="C305" s="216">
        <v>575.0</v>
      </c>
      <c r="D305" s="217">
        <v>17.0</v>
      </c>
      <c r="E305" s="219" t="s">
        <v>157</v>
      </c>
      <c r="F305" s="219" t="s">
        <v>360</v>
      </c>
      <c r="G305" s="214" t="s">
        <v>392</v>
      </c>
      <c r="H305" s="221">
        <v>44720.0</v>
      </c>
      <c r="I305" s="219" t="s">
        <v>758</v>
      </c>
      <c r="J305" s="219" t="s">
        <v>271</v>
      </c>
      <c r="K305" s="219" t="s">
        <v>449</v>
      </c>
      <c r="L305" s="214" t="s">
        <v>458</v>
      </c>
      <c r="M305" s="222">
        <v>2022.0</v>
      </c>
      <c r="N305" s="214" t="s">
        <v>396</v>
      </c>
      <c r="O305" s="223">
        <v>2.0</v>
      </c>
      <c r="P305" s="224">
        <f t="shared" si="1"/>
        <v>0.4640839387</v>
      </c>
      <c r="Q305" s="214" t="str">
        <f t="shared" si="2"/>
        <v>Medium</v>
      </c>
    </row>
    <row r="306" ht="15.75" customHeight="1">
      <c r="A306" s="214" t="s">
        <v>756</v>
      </c>
      <c r="B306" s="216">
        <v>1262.0</v>
      </c>
      <c r="C306" s="216">
        <v>515.0</v>
      </c>
      <c r="D306" s="217">
        <v>16.0</v>
      </c>
      <c r="E306" s="219" t="s">
        <v>157</v>
      </c>
      <c r="F306" s="219" t="s">
        <v>355</v>
      </c>
      <c r="G306" s="214" t="s">
        <v>406</v>
      </c>
      <c r="H306" s="221">
        <v>44912.0</v>
      </c>
      <c r="I306" s="219" t="s">
        <v>757</v>
      </c>
      <c r="J306" s="219" t="s">
        <v>223</v>
      </c>
      <c r="K306" s="219" t="s">
        <v>473</v>
      </c>
      <c r="L306" s="214" t="s">
        <v>464</v>
      </c>
      <c r="M306" s="222">
        <v>2022.0</v>
      </c>
      <c r="N306" s="214" t="s">
        <v>400</v>
      </c>
      <c r="O306" s="223">
        <v>4.0</v>
      </c>
      <c r="P306" s="224">
        <f t="shared" si="1"/>
        <v>0.4080824089</v>
      </c>
      <c r="Q306" s="214" t="str">
        <f t="shared" si="2"/>
        <v>Medium</v>
      </c>
    </row>
    <row r="307" ht="15.75" customHeight="1">
      <c r="A307" s="214" t="s">
        <v>756</v>
      </c>
      <c r="B307" s="216">
        <v>1262.0</v>
      </c>
      <c r="C307" s="216">
        <v>515.0</v>
      </c>
      <c r="D307" s="217">
        <v>16.0</v>
      </c>
      <c r="E307" s="219" t="s">
        <v>157</v>
      </c>
      <c r="F307" s="219" t="s">
        <v>355</v>
      </c>
      <c r="G307" s="214" t="s">
        <v>406</v>
      </c>
      <c r="H307" s="221">
        <v>44720.0</v>
      </c>
      <c r="I307" s="219" t="s">
        <v>758</v>
      </c>
      <c r="J307" s="219" t="s">
        <v>271</v>
      </c>
      <c r="K307" s="219" t="s">
        <v>449</v>
      </c>
      <c r="L307" s="214" t="s">
        <v>458</v>
      </c>
      <c r="M307" s="222">
        <v>2022.0</v>
      </c>
      <c r="N307" s="214" t="s">
        <v>396</v>
      </c>
      <c r="O307" s="223">
        <v>2.0</v>
      </c>
      <c r="P307" s="224">
        <f t="shared" si="1"/>
        <v>0.4080824089</v>
      </c>
      <c r="Q307" s="214" t="str">
        <f t="shared" si="2"/>
        <v>Medium</v>
      </c>
    </row>
    <row r="308" ht="15.75" customHeight="1">
      <c r="A308" s="214" t="s">
        <v>759</v>
      </c>
      <c r="B308" s="216">
        <v>1033.0</v>
      </c>
      <c r="C308" s="216">
        <v>254.0</v>
      </c>
      <c r="D308" s="217">
        <v>5.0</v>
      </c>
      <c r="E308" s="219" t="s">
        <v>216</v>
      </c>
      <c r="F308" s="219" t="s">
        <v>361</v>
      </c>
      <c r="G308" s="214" t="s">
        <v>405</v>
      </c>
      <c r="H308" s="221">
        <v>44071.0</v>
      </c>
      <c r="I308" s="219" t="s">
        <v>760</v>
      </c>
      <c r="J308" s="219" t="s">
        <v>223</v>
      </c>
      <c r="K308" s="219" t="s">
        <v>473</v>
      </c>
      <c r="L308" s="214" t="s">
        <v>431</v>
      </c>
      <c r="M308" s="222">
        <v>2020.0</v>
      </c>
      <c r="N308" s="214" t="s">
        <v>523</v>
      </c>
      <c r="O308" s="223">
        <v>3.0</v>
      </c>
      <c r="P308" s="224">
        <f t="shared" si="1"/>
        <v>0.2458857696</v>
      </c>
      <c r="Q308" s="214" t="str">
        <f t="shared" si="2"/>
        <v>Medium</v>
      </c>
    </row>
    <row r="309" ht="15.75" customHeight="1">
      <c r="A309" s="214" t="s">
        <v>761</v>
      </c>
      <c r="B309" s="216">
        <v>1518.0</v>
      </c>
      <c r="C309" s="216">
        <v>159.0</v>
      </c>
      <c r="D309" s="217">
        <v>19.0</v>
      </c>
      <c r="E309" s="219" t="s">
        <v>157</v>
      </c>
      <c r="F309" s="219" t="s">
        <v>354</v>
      </c>
      <c r="G309" s="214" t="s">
        <v>392</v>
      </c>
      <c r="H309" s="221">
        <v>44100.0</v>
      </c>
      <c r="I309" s="219" t="s">
        <v>762</v>
      </c>
      <c r="J309" s="219" t="s">
        <v>117</v>
      </c>
      <c r="K309" s="219" t="s">
        <v>496</v>
      </c>
      <c r="L309" s="214" t="s">
        <v>434</v>
      </c>
      <c r="M309" s="222">
        <v>2020.0</v>
      </c>
      <c r="N309" s="214" t="s">
        <v>536</v>
      </c>
      <c r="O309" s="223">
        <v>3.0</v>
      </c>
      <c r="P309" s="224">
        <f t="shared" si="1"/>
        <v>0.104743083</v>
      </c>
      <c r="Q309" s="214" t="str">
        <f t="shared" si="2"/>
        <v>Medium</v>
      </c>
    </row>
    <row r="310" ht="15.75" customHeight="1">
      <c r="A310" s="214" t="s">
        <v>763</v>
      </c>
      <c r="B310" s="216">
        <v>8581.0</v>
      </c>
      <c r="C310" s="216">
        <v>2444.0</v>
      </c>
      <c r="D310" s="217">
        <v>2.0</v>
      </c>
      <c r="E310" s="219" t="s">
        <v>242</v>
      </c>
      <c r="F310" s="219" t="s">
        <v>357</v>
      </c>
      <c r="G310" s="214" t="s">
        <v>351</v>
      </c>
      <c r="H310" s="221">
        <v>44178.0</v>
      </c>
      <c r="I310" s="219" t="s">
        <v>764</v>
      </c>
      <c r="J310" s="219" t="s">
        <v>271</v>
      </c>
      <c r="K310" s="219" t="s">
        <v>568</v>
      </c>
      <c r="L310" s="214" t="s">
        <v>437</v>
      </c>
      <c r="M310" s="222">
        <v>2020.0</v>
      </c>
      <c r="N310" s="214" t="s">
        <v>400</v>
      </c>
      <c r="O310" s="223">
        <v>4.0</v>
      </c>
      <c r="P310" s="224">
        <f t="shared" si="1"/>
        <v>0.2848152896</v>
      </c>
      <c r="Q310" s="214" t="str">
        <f t="shared" si="2"/>
        <v>High</v>
      </c>
    </row>
    <row r="311" ht="15.75" customHeight="1">
      <c r="A311" s="214" t="s">
        <v>763</v>
      </c>
      <c r="B311" s="216">
        <v>8581.0</v>
      </c>
      <c r="C311" s="216">
        <v>2444.0</v>
      </c>
      <c r="D311" s="217">
        <v>2.0</v>
      </c>
      <c r="E311" s="219" t="s">
        <v>242</v>
      </c>
      <c r="F311" s="219" t="s">
        <v>357</v>
      </c>
      <c r="G311" s="214" t="s">
        <v>351</v>
      </c>
      <c r="H311" s="221">
        <v>44154.0</v>
      </c>
      <c r="I311" s="219" t="s">
        <v>765</v>
      </c>
      <c r="J311" s="219" t="s">
        <v>159</v>
      </c>
      <c r="K311" s="219" t="s">
        <v>409</v>
      </c>
      <c r="L311" s="214" t="s">
        <v>436</v>
      </c>
      <c r="M311" s="222">
        <v>2020.0</v>
      </c>
      <c r="N311" s="214" t="s">
        <v>425</v>
      </c>
      <c r="O311" s="223">
        <v>4.0</v>
      </c>
      <c r="P311" s="224">
        <f t="shared" si="1"/>
        <v>0.2848152896</v>
      </c>
      <c r="Q311" s="214" t="str">
        <f t="shared" si="2"/>
        <v>High</v>
      </c>
    </row>
    <row r="312" ht="15.75" customHeight="1">
      <c r="A312" s="214" t="s">
        <v>766</v>
      </c>
      <c r="B312" s="216">
        <v>1167.0</v>
      </c>
      <c r="C312" s="216">
        <v>463.0</v>
      </c>
      <c r="D312" s="217">
        <v>5.0</v>
      </c>
      <c r="E312" s="219" t="s">
        <v>242</v>
      </c>
      <c r="F312" s="219" t="s">
        <v>356</v>
      </c>
      <c r="G312" s="214" t="s">
        <v>392</v>
      </c>
      <c r="H312" s="221">
        <v>45182.0</v>
      </c>
      <c r="I312" s="219" t="s">
        <v>767</v>
      </c>
      <c r="J312" s="219" t="s">
        <v>241</v>
      </c>
      <c r="K312" s="219" t="s">
        <v>504</v>
      </c>
      <c r="L312" s="214" t="s">
        <v>474</v>
      </c>
      <c r="M312" s="222">
        <v>2023.0</v>
      </c>
      <c r="N312" s="214" t="s">
        <v>536</v>
      </c>
      <c r="O312" s="223">
        <v>3.0</v>
      </c>
      <c r="P312" s="224">
        <f t="shared" si="1"/>
        <v>0.3967437875</v>
      </c>
      <c r="Q312" s="214" t="str">
        <f t="shared" si="2"/>
        <v>Medium</v>
      </c>
    </row>
    <row r="313" ht="15.75" customHeight="1">
      <c r="A313" s="214" t="s">
        <v>766</v>
      </c>
      <c r="B313" s="216">
        <v>2841.0</v>
      </c>
      <c r="C313" s="216">
        <v>803.0</v>
      </c>
      <c r="D313" s="217">
        <v>20.0</v>
      </c>
      <c r="E313" s="219" t="s">
        <v>157</v>
      </c>
      <c r="F313" s="219" t="s">
        <v>360</v>
      </c>
      <c r="G313" s="214" t="s">
        <v>350</v>
      </c>
      <c r="H313" s="221">
        <v>45182.0</v>
      </c>
      <c r="I313" s="219" t="s">
        <v>767</v>
      </c>
      <c r="J313" s="219" t="s">
        <v>241</v>
      </c>
      <c r="K313" s="219" t="s">
        <v>504</v>
      </c>
      <c r="L313" s="214" t="s">
        <v>474</v>
      </c>
      <c r="M313" s="222">
        <v>2023.0</v>
      </c>
      <c r="N313" s="214" t="s">
        <v>536</v>
      </c>
      <c r="O313" s="223">
        <v>3.0</v>
      </c>
      <c r="P313" s="224">
        <f t="shared" si="1"/>
        <v>0.2826469553</v>
      </c>
      <c r="Q313" s="214" t="str">
        <f t="shared" si="2"/>
        <v>Medium</v>
      </c>
    </row>
    <row r="314" ht="15.75" customHeight="1">
      <c r="A314" s="214" t="s">
        <v>766</v>
      </c>
      <c r="B314" s="216">
        <v>5680.0</v>
      </c>
      <c r="C314" s="216">
        <v>2159.0</v>
      </c>
      <c r="D314" s="217">
        <v>19.0</v>
      </c>
      <c r="E314" s="219" t="s">
        <v>216</v>
      </c>
      <c r="F314" s="219" t="s">
        <v>344</v>
      </c>
      <c r="G314" s="214" t="s">
        <v>392</v>
      </c>
      <c r="H314" s="221">
        <v>45182.0</v>
      </c>
      <c r="I314" s="219" t="s">
        <v>767</v>
      </c>
      <c r="J314" s="219" t="s">
        <v>241</v>
      </c>
      <c r="K314" s="219" t="s">
        <v>504</v>
      </c>
      <c r="L314" s="214" t="s">
        <v>474</v>
      </c>
      <c r="M314" s="222">
        <v>2023.0</v>
      </c>
      <c r="N314" s="214" t="s">
        <v>536</v>
      </c>
      <c r="O314" s="223">
        <v>3.0</v>
      </c>
      <c r="P314" s="224">
        <f t="shared" si="1"/>
        <v>0.3801056338</v>
      </c>
      <c r="Q314" s="214" t="str">
        <f t="shared" si="2"/>
        <v>High</v>
      </c>
    </row>
    <row r="315" ht="15.75" customHeight="1">
      <c r="A315" s="214" t="s">
        <v>768</v>
      </c>
      <c r="B315" s="216">
        <v>8204.0</v>
      </c>
      <c r="C315" s="216">
        <v>2382.0</v>
      </c>
      <c r="D315" s="217">
        <v>6.0</v>
      </c>
      <c r="E315" s="219" t="s">
        <v>242</v>
      </c>
      <c r="F315" s="219" t="s">
        <v>356</v>
      </c>
      <c r="G315" s="214" t="s">
        <v>392</v>
      </c>
      <c r="H315" s="221">
        <v>43921.0</v>
      </c>
      <c r="I315" s="219" t="s">
        <v>769</v>
      </c>
      <c r="J315" s="219" t="s">
        <v>271</v>
      </c>
      <c r="K315" s="219" t="s">
        <v>398</v>
      </c>
      <c r="L315" s="214" t="s">
        <v>417</v>
      </c>
      <c r="M315" s="222">
        <v>2020.0</v>
      </c>
      <c r="N315" s="214" t="s">
        <v>433</v>
      </c>
      <c r="O315" s="223">
        <v>1.0</v>
      </c>
      <c r="P315" s="224">
        <f t="shared" si="1"/>
        <v>0.2903461726</v>
      </c>
      <c r="Q315" s="214" t="str">
        <f t="shared" si="2"/>
        <v>High</v>
      </c>
    </row>
    <row r="316" ht="15.75" customHeight="1">
      <c r="A316" s="214" t="s">
        <v>768</v>
      </c>
      <c r="B316" s="216">
        <v>8204.0</v>
      </c>
      <c r="C316" s="216">
        <v>2382.0</v>
      </c>
      <c r="D316" s="217">
        <v>6.0</v>
      </c>
      <c r="E316" s="219" t="s">
        <v>242</v>
      </c>
      <c r="F316" s="219" t="s">
        <v>356</v>
      </c>
      <c r="G316" s="214" t="s">
        <v>392</v>
      </c>
      <c r="H316" s="221">
        <v>44124.0</v>
      </c>
      <c r="I316" s="219" t="s">
        <v>770</v>
      </c>
      <c r="J316" s="219" t="s">
        <v>223</v>
      </c>
      <c r="K316" s="219" t="s">
        <v>402</v>
      </c>
      <c r="L316" s="214" t="s">
        <v>435</v>
      </c>
      <c r="M316" s="222">
        <v>2020.0</v>
      </c>
      <c r="N316" s="214" t="s">
        <v>414</v>
      </c>
      <c r="O316" s="223">
        <v>4.0</v>
      </c>
      <c r="P316" s="224">
        <f t="shared" si="1"/>
        <v>0.2903461726</v>
      </c>
      <c r="Q316" s="214" t="str">
        <f t="shared" si="2"/>
        <v>High</v>
      </c>
    </row>
    <row r="317" ht="15.75" customHeight="1">
      <c r="A317" s="214" t="s">
        <v>768</v>
      </c>
      <c r="B317" s="216">
        <v>2850.0</v>
      </c>
      <c r="C317" s="216">
        <v>904.0</v>
      </c>
      <c r="D317" s="217">
        <v>6.0</v>
      </c>
      <c r="E317" s="219" t="s">
        <v>157</v>
      </c>
      <c r="F317" s="219" t="s">
        <v>358</v>
      </c>
      <c r="G317" s="214" t="s">
        <v>406</v>
      </c>
      <c r="H317" s="221">
        <v>43921.0</v>
      </c>
      <c r="I317" s="219" t="s">
        <v>769</v>
      </c>
      <c r="J317" s="219" t="s">
        <v>271</v>
      </c>
      <c r="K317" s="219" t="s">
        <v>398</v>
      </c>
      <c r="L317" s="214" t="s">
        <v>417</v>
      </c>
      <c r="M317" s="222">
        <v>2020.0</v>
      </c>
      <c r="N317" s="214" t="s">
        <v>433</v>
      </c>
      <c r="O317" s="223">
        <v>1.0</v>
      </c>
      <c r="P317" s="224">
        <f t="shared" si="1"/>
        <v>0.3171929825</v>
      </c>
      <c r="Q317" s="214" t="str">
        <f t="shared" si="2"/>
        <v>Medium</v>
      </c>
    </row>
    <row r="318" ht="15.75" customHeight="1">
      <c r="A318" s="214" t="s">
        <v>768</v>
      </c>
      <c r="B318" s="216">
        <v>2850.0</v>
      </c>
      <c r="C318" s="216">
        <v>904.0</v>
      </c>
      <c r="D318" s="217">
        <v>6.0</v>
      </c>
      <c r="E318" s="219" t="s">
        <v>157</v>
      </c>
      <c r="F318" s="219" t="s">
        <v>358</v>
      </c>
      <c r="G318" s="214" t="s">
        <v>406</v>
      </c>
      <c r="H318" s="221">
        <v>44124.0</v>
      </c>
      <c r="I318" s="219" t="s">
        <v>770</v>
      </c>
      <c r="J318" s="219" t="s">
        <v>223</v>
      </c>
      <c r="K318" s="219" t="s">
        <v>402</v>
      </c>
      <c r="L318" s="214" t="s">
        <v>435</v>
      </c>
      <c r="M318" s="222">
        <v>2020.0</v>
      </c>
      <c r="N318" s="214" t="s">
        <v>414</v>
      </c>
      <c r="O318" s="223">
        <v>4.0</v>
      </c>
      <c r="P318" s="224">
        <f t="shared" si="1"/>
        <v>0.3171929825</v>
      </c>
      <c r="Q318" s="214" t="str">
        <f t="shared" si="2"/>
        <v>Medium</v>
      </c>
    </row>
    <row r="319" ht="15.75" customHeight="1">
      <c r="A319" s="214" t="s">
        <v>771</v>
      </c>
      <c r="B319" s="216">
        <v>907.0</v>
      </c>
      <c r="C319" s="216">
        <v>391.0</v>
      </c>
      <c r="D319" s="217">
        <v>9.0</v>
      </c>
      <c r="E319" s="219" t="s">
        <v>242</v>
      </c>
      <c r="F319" s="219" t="s">
        <v>356</v>
      </c>
      <c r="G319" s="214" t="s">
        <v>350</v>
      </c>
      <c r="H319" s="221">
        <v>45142.0</v>
      </c>
      <c r="I319" s="219" t="s">
        <v>772</v>
      </c>
      <c r="J319" s="219" t="s">
        <v>223</v>
      </c>
      <c r="K319" s="219" t="s">
        <v>428</v>
      </c>
      <c r="L319" s="214" t="s">
        <v>472</v>
      </c>
      <c r="M319" s="222">
        <v>2023.0</v>
      </c>
      <c r="N319" s="214" t="s">
        <v>523</v>
      </c>
      <c r="O319" s="223">
        <v>3.0</v>
      </c>
      <c r="P319" s="224">
        <f t="shared" si="1"/>
        <v>0.4310915105</v>
      </c>
      <c r="Q319" s="214" t="str">
        <f t="shared" si="2"/>
        <v>Medium</v>
      </c>
    </row>
    <row r="320" ht="15.75" customHeight="1">
      <c r="A320" s="214" t="s">
        <v>773</v>
      </c>
      <c r="B320" s="216">
        <v>2174.0</v>
      </c>
      <c r="C320" s="216">
        <v>265.0</v>
      </c>
      <c r="D320" s="217">
        <v>19.0</v>
      </c>
      <c r="E320" s="219" t="s">
        <v>242</v>
      </c>
      <c r="F320" s="219" t="s">
        <v>356</v>
      </c>
      <c r="G320" s="214" t="s">
        <v>350</v>
      </c>
      <c r="H320" s="221">
        <v>44662.0</v>
      </c>
      <c r="I320" s="219" t="s">
        <v>774</v>
      </c>
      <c r="J320" s="219" t="s">
        <v>313</v>
      </c>
      <c r="K320" s="219" t="s">
        <v>518</v>
      </c>
      <c r="L320" s="214" t="s">
        <v>456</v>
      </c>
      <c r="M320" s="222">
        <v>2022.0</v>
      </c>
      <c r="N320" s="214" t="s">
        <v>542</v>
      </c>
      <c r="O320" s="223">
        <v>2.0</v>
      </c>
      <c r="P320" s="224">
        <f t="shared" si="1"/>
        <v>0.1218951242</v>
      </c>
      <c r="Q320" s="214" t="str">
        <f t="shared" si="2"/>
        <v>Medium</v>
      </c>
    </row>
    <row r="321" ht="15.75" customHeight="1">
      <c r="A321" s="214" t="s">
        <v>773</v>
      </c>
      <c r="B321" s="216">
        <v>8541.0</v>
      </c>
      <c r="C321" s="216">
        <v>2029.0</v>
      </c>
      <c r="D321" s="217">
        <v>12.0</v>
      </c>
      <c r="E321" s="219" t="s">
        <v>157</v>
      </c>
      <c r="F321" s="219" t="s">
        <v>355</v>
      </c>
      <c r="G321" s="214" t="s">
        <v>350</v>
      </c>
      <c r="H321" s="221">
        <v>44662.0</v>
      </c>
      <c r="I321" s="219" t="s">
        <v>774</v>
      </c>
      <c r="J321" s="219" t="s">
        <v>313</v>
      </c>
      <c r="K321" s="219" t="s">
        <v>518</v>
      </c>
      <c r="L321" s="214" t="s">
        <v>456</v>
      </c>
      <c r="M321" s="222">
        <v>2022.0</v>
      </c>
      <c r="N321" s="214" t="s">
        <v>542</v>
      </c>
      <c r="O321" s="223">
        <v>2.0</v>
      </c>
      <c r="P321" s="224">
        <f t="shared" si="1"/>
        <v>0.2375600047</v>
      </c>
      <c r="Q321" s="214" t="str">
        <f t="shared" si="2"/>
        <v>High</v>
      </c>
    </row>
    <row r="322" ht="15.75" customHeight="1">
      <c r="A322" s="214" t="s">
        <v>773</v>
      </c>
      <c r="B322" s="216">
        <v>1931.0</v>
      </c>
      <c r="C322" s="216">
        <v>551.0</v>
      </c>
      <c r="D322" s="217">
        <v>3.0</v>
      </c>
      <c r="E322" s="219" t="s">
        <v>216</v>
      </c>
      <c r="F322" s="219" t="s">
        <v>361</v>
      </c>
      <c r="G322" s="214" t="s">
        <v>406</v>
      </c>
      <c r="H322" s="221">
        <v>44662.0</v>
      </c>
      <c r="I322" s="219" t="s">
        <v>774</v>
      </c>
      <c r="J322" s="219" t="s">
        <v>313</v>
      </c>
      <c r="K322" s="219" t="s">
        <v>518</v>
      </c>
      <c r="L322" s="214" t="s">
        <v>456</v>
      </c>
      <c r="M322" s="222">
        <v>2022.0</v>
      </c>
      <c r="N322" s="214" t="s">
        <v>542</v>
      </c>
      <c r="O322" s="223">
        <v>2.0</v>
      </c>
      <c r="P322" s="224">
        <f t="shared" si="1"/>
        <v>0.2853443811</v>
      </c>
      <c r="Q322" s="214" t="str">
        <f t="shared" si="2"/>
        <v>Medium</v>
      </c>
    </row>
    <row r="323" ht="15.75" customHeight="1">
      <c r="A323" s="214" t="s">
        <v>775</v>
      </c>
      <c r="B323" s="216">
        <v>1281.0</v>
      </c>
      <c r="C323" s="216">
        <v>340.0</v>
      </c>
      <c r="D323" s="217">
        <v>3.0</v>
      </c>
      <c r="E323" s="219" t="s">
        <v>157</v>
      </c>
      <c r="F323" s="219" t="s">
        <v>355</v>
      </c>
      <c r="G323" s="214" t="s">
        <v>351</v>
      </c>
      <c r="H323" s="221">
        <v>44561.0</v>
      </c>
      <c r="I323" s="219" t="s">
        <v>776</v>
      </c>
      <c r="J323" s="219" t="s">
        <v>241</v>
      </c>
      <c r="K323" s="219" t="s">
        <v>504</v>
      </c>
      <c r="L323" s="214" t="s">
        <v>452</v>
      </c>
      <c r="M323" s="222">
        <v>2021.0</v>
      </c>
      <c r="N323" s="214" t="s">
        <v>400</v>
      </c>
      <c r="O323" s="223">
        <v>4.0</v>
      </c>
      <c r="P323" s="224">
        <f t="shared" si="1"/>
        <v>0.2654176425</v>
      </c>
      <c r="Q323" s="214" t="str">
        <f t="shared" si="2"/>
        <v>Medium</v>
      </c>
    </row>
    <row r="324" ht="15.75" customHeight="1">
      <c r="A324" s="214" t="s">
        <v>775</v>
      </c>
      <c r="B324" s="216">
        <v>2404.0</v>
      </c>
      <c r="C324" s="216">
        <v>253.0</v>
      </c>
      <c r="D324" s="217">
        <v>15.0</v>
      </c>
      <c r="E324" s="219" t="s">
        <v>157</v>
      </c>
      <c r="F324" s="219" t="s">
        <v>360</v>
      </c>
      <c r="G324" s="214" t="s">
        <v>405</v>
      </c>
      <c r="H324" s="221">
        <v>44561.0</v>
      </c>
      <c r="I324" s="219" t="s">
        <v>776</v>
      </c>
      <c r="J324" s="219" t="s">
        <v>241</v>
      </c>
      <c r="K324" s="219" t="s">
        <v>504</v>
      </c>
      <c r="L324" s="214" t="s">
        <v>452</v>
      </c>
      <c r="M324" s="222">
        <v>2021.0</v>
      </c>
      <c r="N324" s="214" t="s">
        <v>400</v>
      </c>
      <c r="O324" s="223">
        <v>4.0</v>
      </c>
      <c r="P324" s="224">
        <f t="shared" si="1"/>
        <v>0.1052412646</v>
      </c>
      <c r="Q324" s="214" t="str">
        <f t="shared" si="2"/>
        <v>Medium</v>
      </c>
    </row>
    <row r="325" ht="15.75" customHeight="1">
      <c r="A325" s="214" t="s">
        <v>777</v>
      </c>
      <c r="B325" s="216">
        <v>2119.0</v>
      </c>
      <c r="C325" s="216">
        <v>196.0</v>
      </c>
      <c r="D325" s="217">
        <v>1.0</v>
      </c>
      <c r="E325" s="219" t="s">
        <v>216</v>
      </c>
      <c r="F325" s="219" t="s">
        <v>347</v>
      </c>
      <c r="G325" s="214" t="s">
        <v>405</v>
      </c>
      <c r="H325" s="221">
        <v>44059.0</v>
      </c>
      <c r="I325" s="219" t="s">
        <v>778</v>
      </c>
      <c r="J325" s="219" t="s">
        <v>117</v>
      </c>
      <c r="K325" s="219" t="s">
        <v>423</v>
      </c>
      <c r="L325" s="214" t="s">
        <v>431</v>
      </c>
      <c r="M325" s="222">
        <v>2020.0</v>
      </c>
      <c r="N325" s="214" t="s">
        <v>523</v>
      </c>
      <c r="O325" s="223">
        <v>3.0</v>
      </c>
      <c r="P325" s="224">
        <f t="shared" si="1"/>
        <v>0.09249646059</v>
      </c>
      <c r="Q325" s="214" t="str">
        <f t="shared" si="2"/>
        <v>Medium</v>
      </c>
    </row>
    <row r="326" ht="15.75" customHeight="1">
      <c r="A326" s="214" t="s">
        <v>779</v>
      </c>
      <c r="B326" s="216">
        <v>3137.0</v>
      </c>
      <c r="C326" s="216">
        <v>571.0</v>
      </c>
      <c r="D326" s="217">
        <v>9.0</v>
      </c>
      <c r="E326" s="219" t="s">
        <v>242</v>
      </c>
      <c r="F326" s="219" t="s">
        <v>356</v>
      </c>
      <c r="G326" s="214" t="s">
        <v>351</v>
      </c>
      <c r="H326" s="221">
        <v>45690.0</v>
      </c>
      <c r="I326" s="219" t="s">
        <v>780</v>
      </c>
      <c r="J326" s="219" t="s">
        <v>271</v>
      </c>
      <c r="K326" s="219" t="s">
        <v>398</v>
      </c>
      <c r="L326" s="214" t="s">
        <v>488</v>
      </c>
      <c r="M326" s="222">
        <v>2025.0</v>
      </c>
      <c r="N326" s="214" t="s">
        <v>494</v>
      </c>
      <c r="O326" s="223">
        <v>1.0</v>
      </c>
      <c r="P326" s="224">
        <f t="shared" si="1"/>
        <v>0.1820210392</v>
      </c>
      <c r="Q326" s="214" t="str">
        <f t="shared" si="2"/>
        <v>Medium</v>
      </c>
    </row>
    <row r="327" ht="15.75" customHeight="1">
      <c r="A327" s="214" t="s">
        <v>781</v>
      </c>
      <c r="B327" s="216">
        <v>2323.0</v>
      </c>
      <c r="C327" s="216">
        <v>727.0</v>
      </c>
      <c r="D327" s="217">
        <v>7.0</v>
      </c>
      <c r="E327" s="219" t="s">
        <v>216</v>
      </c>
      <c r="F327" s="219" t="s">
        <v>344</v>
      </c>
      <c r="G327" s="214" t="s">
        <v>405</v>
      </c>
      <c r="H327" s="221">
        <v>44616.0</v>
      </c>
      <c r="I327" s="219" t="s">
        <v>782</v>
      </c>
      <c r="J327" s="219" t="s">
        <v>241</v>
      </c>
      <c r="K327" s="219" t="s">
        <v>493</v>
      </c>
      <c r="L327" s="214" t="s">
        <v>454</v>
      </c>
      <c r="M327" s="222">
        <v>2022.0</v>
      </c>
      <c r="N327" s="214" t="s">
        <v>494</v>
      </c>
      <c r="O327" s="223">
        <v>1.0</v>
      </c>
      <c r="P327" s="224">
        <f t="shared" si="1"/>
        <v>0.3129573827</v>
      </c>
      <c r="Q327" s="214" t="str">
        <f t="shared" si="2"/>
        <v>Medium</v>
      </c>
    </row>
    <row r="328" ht="15.75" customHeight="1">
      <c r="A328" s="214" t="s">
        <v>781</v>
      </c>
      <c r="B328" s="216">
        <v>1368.0</v>
      </c>
      <c r="C328" s="216">
        <v>406.0</v>
      </c>
      <c r="D328" s="217">
        <v>9.0</v>
      </c>
      <c r="E328" s="219" t="s">
        <v>216</v>
      </c>
      <c r="F328" s="219" t="s">
        <v>361</v>
      </c>
      <c r="G328" s="214" t="s">
        <v>392</v>
      </c>
      <c r="H328" s="221">
        <v>44616.0</v>
      </c>
      <c r="I328" s="219" t="s">
        <v>782</v>
      </c>
      <c r="J328" s="219" t="s">
        <v>241</v>
      </c>
      <c r="K328" s="219" t="s">
        <v>493</v>
      </c>
      <c r="L328" s="214" t="s">
        <v>454</v>
      </c>
      <c r="M328" s="222">
        <v>2022.0</v>
      </c>
      <c r="N328" s="214" t="s">
        <v>494</v>
      </c>
      <c r="O328" s="223">
        <v>1.0</v>
      </c>
      <c r="P328" s="224">
        <f t="shared" si="1"/>
        <v>0.2967836257</v>
      </c>
      <c r="Q328" s="214" t="str">
        <f t="shared" si="2"/>
        <v>Medium</v>
      </c>
    </row>
    <row r="329" ht="15.75" customHeight="1">
      <c r="A329" s="214" t="s">
        <v>783</v>
      </c>
      <c r="B329" s="216">
        <v>9204.0</v>
      </c>
      <c r="C329" s="216">
        <v>3289.0</v>
      </c>
      <c r="D329" s="217">
        <v>16.0</v>
      </c>
      <c r="E329" s="219" t="s">
        <v>157</v>
      </c>
      <c r="F329" s="219" t="s">
        <v>360</v>
      </c>
      <c r="G329" s="214" t="s">
        <v>350</v>
      </c>
      <c r="H329" s="221">
        <v>45347.0</v>
      </c>
      <c r="I329" s="219" t="s">
        <v>784</v>
      </c>
      <c r="J329" s="219" t="s">
        <v>159</v>
      </c>
      <c r="K329" s="219" t="s">
        <v>394</v>
      </c>
      <c r="L329" s="214" t="s">
        <v>478</v>
      </c>
      <c r="M329" s="222">
        <v>2024.0</v>
      </c>
      <c r="N329" s="214" t="s">
        <v>494</v>
      </c>
      <c r="O329" s="223">
        <v>1.0</v>
      </c>
      <c r="P329" s="224">
        <f t="shared" si="1"/>
        <v>0.3573446328</v>
      </c>
      <c r="Q329" s="214" t="str">
        <f t="shared" si="2"/>
        <v>High</v>
      </c>
    </row>
    <row r="330" ht="15.75" customHeight="1">
      <c r="A330" s="214" t="s">
        <v>783</v>
      </c>
      <c r="B330" s="216">
        <v>9204.0</v>
      </c>
      <c r="C330" s="216">
        <v>3289.0</v>
      </c>
      <c r="D330" s="217">
        <v>16.0</v>
      </c>
      <c r="E330" s="219" t="s">
        <v>157</v>
      </c>
      <c r="F330" s="219" t="s">
        <v>360</v>
      </c>
      <c r="G330" s="214" t="s">
        <v>350</v>
      </c>
      <c r="H330" s="221">
        <v>44362.0</v>
      </c>
      <c r="I330" s="219" t="s">
        <v>785</v>
      </c>
      <c r="J330" s="219" t="s">
        <v>159</v>
      </c>
      <c r="K330" s="219" t="s">
        <v>394</v>
      </c>
      <c r="L330" s="214" t="s">
        <v>444</v>
      </c>
      <c r="M330" s="222">
        <v>2021.0</v>
      </c>
      <c r="N330" s="214" t="s">
        <v>396</v>
      </c>
      <c r="O330" s="223">
        <v>2.0</v>
      </c>
      <c r="P330" s="224">
        <f t="shared" si="1"/>
        <v>0.3573446328</v>
      </c>
      <c r="Q330" s="214" t="str">
        <f t="shared" si="2"/>
        <v>High</v>
      </c>
    </row>
    <row r="331" ht="15.75" customHeight="1">
      <c r="A331" s="214" t="s">
        <v>783</v>
      </c>
      <c r="B331" s="216">
        <v>9894.0</v>
      </c>
      <c r="C331" s="216">
        <v>3698.0</v>
      </c>
      <c r="D331" s="217">
        <v>20.0</v>
      </c>
      <c r="E331" s="219" t="s">
        <v>242</v>
      </c>
      <c r="F331" s="219" t="s">
        <v>357</v>
      </c>
      <c r="G331" s="214" t="s">
        <v>406</v>
      </c>
      <c r="H331" s="221">
        <v>45347.0</v>
      </c>
      <c r="I331" s="219" t="s">
        <v>784</v>
      </c>
      <c r="J331" s="219" t="s">
        <v>159</v>
      </c>
      <c r="K331" s="219" t="s">
        <v>394</v>
      </c>
      <c r="L331" s="214" t="s">
        <v>478</v>
      </c>
      <c r="M331" s="222">
        <v>2024.0</v>
      </c>
      <c r="N331" s="214" t="s">
        <v>494</v>
      </c>
      <c r="O331" s="223">
        <v>1.0</v>
      </c>
      <c r="P331" s="224">
        <f t="shared" si="1"/>
        <v>0.3737618759</v>
      </c>
      <c r="Q331" s="214" t="str">
        <f t="shared" si="2"/>
        <v>High</v>
      </c>
    </row>
    <row r="332" ht="15.75" customHeight="1">
      <c r="A332" s="214" t="s">
        <v>783</v>
      </c>
      <c r="B332" s="216">
        <v>9894.0</v>
      </c>
      <c r="C332" s="216">
        <v>3698.0</v>
      </c>
      <c r="D332" s="217">
        <v>20.0</v>
      </c>
      <c r="E332" s="219" t="s">
        <v>242</v>
      </c>
      <c r="F332" s="219" t="s">
        <v>357</v>
      </c>
      <c r="G332" s="214" t="s">
        <v>406</v>
      </c>
      <c r="H332" s="221">
        <v>44362.0</v>
      </c>
      <c r="I332" s="219" t="s">
        <v>785</v>
      </c>
      <c r="J332" s="219" t="s">
        <v>159</v>
      </c>
      <c r="K332" s="219" t="s">
        <v>394</v>
      </c>
      <c r="L332" s="214" t="s">
        <v>444</v>
      </c>
      <c r="M332" s="222">
        <v>2021.0</v>
      </c>
      <c r="N332" s="214" t="s">
        <v>396</v>
      </c>
      <c r="O332" s="223">
        <v>2.0</v>
      </c>
      <c r="P332" s="224">
        <f t="shared" si="1"/>
        <v>0.3737618759</v>
      </c>
      <c r="Q332" s="214" t="str">
        <f t="shared" si="2"/>
        <v>High</v>
      </c>
    </row>
    <row r="333" ht="15.75" customHeight="1">
      <c r="A333" s="214" t="s">
        <v>786</v>
      </c>
      <c r="B333" s="216">
        <v>5322.0</v>
      </c>
      <c r="C333" s="216">
        <v>1423.0</v>
      </c>
      <c r="D333" s="217">
        <v>18.0</v>
      </c>
      <c r="E333" s="219" t="s">
        <v>216</v>
      </c>
      <c r="F333" s="219" t="s">
        <v>347</v>
      </c>
      <c r="G333" s="214" t="s">
        <v>405</v>
      </c>
      <c r="H333" s="221">
        <v>44903.0</v>
      </c>
      <c r="I333" s="219" t="s">
        <v>787</v>
      </c>
      <c r="J333" s="219" t="s">
        <v>241</v>
      </c>
      <c r="K333" s="219" t="s">
        <v>541</v>
      </c>
      <c r="L333" s="214" t="s">
        <v>464</v>
      </c>
      <c r="M333" s="222">
        <v>2022.0</v>
      </c>
      <c r="N333" s="214" t="s">
        <v>400</v>
      </c>
      <c r="O333" s="223">
        <v>4.0</v>
      </c>
      <c r="P333" s="224">
        <f t="shared" si="1"/>
        <v>0.267380684</v>
      </c>
      <c r="Q333" s="214" t="str">
        <f t="shared" si="2"/>
        <v>High</v>
      </c>
    </row>
    <row r="334" ht="15.75" customHeight="1">
      <c r="A334" s="214" t="s">
        <v>786</v>
      </c>
      <c r="B334" s="216">
        <v>5322.0</v>
      </c>
      <c r="C334" s="216">
        <v>1423.0</v>
      </c>
      <c r="D334" s="217">
        <v>18.0</v>
      </c>
      <c r="E334" s="219" t="s">
        <v>216</v>
      </c>
      <c r="F334" s="219" t="s">
        <v>347</v>
      </c>
      <c r="G334" s="214" t="s">
        <v>405</v>
      </c>
      <c r="H334" s="221">
        <v>45269.0</v>
      </c>
      <c r="I334" s="219" t="s">
        <v>788</v>
      </c>
      <c r="J334" s="219" t="s">
        <v>241</v>
      </c>
      <c r="K334" s="219" t="s">
        <v>493</v>
      </c>
      <c r="L334" s="214" t="s">
        <v>476</v>
      </c>
      <c r="M334" s="222">
        <v>2023.0</v>
      </c>
      <c r="N334" s="214" t="s">
        <v>400</v>
      </c>
      <c r="O334" s="223">
        <v>4.0</v>
      </c>
      <c r="P334" s="224">
        <f t="shared" si="1"/>
        <v>0.267380684</v>
      </c>
      <c r="Q334" s="214" t="str">
        <f t="shared" si="2"/>
        <v>High</v>
      </c>
    </row>
    <row r="335" ht="15.75" customHeight="1">
      <c r="A335" s="214" t="s">
        <v>789</v>
      </c>
      <c r="B335" s="216">
        <v>2666.0</v>
      </c>
      <c r="C335" s="216">
        <v>559.0</v>
      </c>
      <c r="D335" s="217">
        <v>14.0</v>
      </c>
      <c r="E335" s="219" t="s">
        <v>216</v>
      </c>
      <c r="F335" s="219" t="s">
        <v>359</v>
      </c>
      <c r="G335" s="214" t="s">
        <v>405</v>
      </c>
      <c r="H335" s="221">
        <v>44758.0</v>
      </c>
      <c r="I335" s="219" t="s">
        <v>790</v>
      </c>
      <c r="J335" s="219" t="s">
        <v>313</v>
      </c>
      <c r="K335" s="219" t="s">
        <v>526</v>
      </c>
      <c r="L335" s="214" t="s">
        <v>460</v>
      </c>
      <c r="M335" s="222">
        <v>2022.0</v>
      </c>
      <c r="N335" s="214" t="s">
        <v>404</v>
      </c>
      <c r="O335" s="223">
        <v>3.0</v>
      </c>
      <c r="P335" s="224">
        <f t="shared" si="1"/>
        <v>0.2096774194</v>
      </c>
      <c r="Q335" s="214" t="str">
        <f t="shared" si="2"/>
        <v>Medium</v>
      </c>
    </row>
    <row r="336" ht="15.75" customHeight="1">
      <c r="A336" s="214" t="s">
        <v>791</v>
      </c>
      <c r="B336" s="216">
        <v>8383.0</v>
      </c>
      <c r="C336" s="216">
        <v>937.0</v>
      </c>
      <c r="D336" s="217">
        <v>4.0</v>
      </c>
      <c r="E336" s="219" t="s">
        <v>216</v>
      </c>
      <c r="F336" s="219" t="s">
        <v>347</v>
      </c>
      <c r="G336" s="214" t="s">
        <v>392</v>
      </c>
      <c r="H336" s="221">
        <v>45417.0</v>
      </c>
      <c r="I336" s="219" t="s">
        <v>792</v>
      </c>
      <c r="J336" s="219" t="s">
        <v>159</v>
      </c>
      <c r="K336" s="219" t="s">
        <v>409</v>
      </c>
      <c r="L336" s="214" t="s">
        <v>410</v>
      </c>
      <c r="M336" s="222">
        <v>2024.0</v>
      </c>
      <c r="N336" s="214" t="s">
        <v>411</v>
      </c>
      <c r="O336" s="223">
        <v>2.0</v>
      </c>
      <c r="P336" s="224">
        <f t="shared" si="1"/>
        <v>0.111773828</v>
      </c>
      <c r="Q336" s="214" t="str">
        <f t="shared" si="2"/>
        <v>High</v>
      </c>
    </row>
    <row r="337" ht="15.75" customHeight="1">
      <c r="A337" s="214" t="s">
        <v>793</v>
      </c>
      <c r="B337" s="216">
        <v>7560.0</v>
      </c>
      <c r="C337" s="216">
        <v>821.0</v>
      </c>
      <c r="D337" s="217">
        <v>4.0</v>
      </c>
      <c r="E337" s="219" t="s">
        <v>242</v>
      </c>
      <c r="F337" s="219" t="s">
        <v>357</v>
      </c>
      <c r="G337" s="214" t="s">
        <v>406</v>
      </c>
      <c r="H337" s="221">
        <v>44473.0</v>
      </c>
      <c r="I337" s="219" t="s">
        <v>794</v>
      </c>
      <c r="J337" s="219" t="s">
        <v>271</v>
      </c>
      <c r="K337" s="219" t="s">
        <v>398</v>
      </c>
      <c r="L337" s="214" t="s">
        <v>413</v>
      </c>
      <c r="M337" s="222">
        <v>2021.0</v>
      </c>
      <c r="N337" s="214" t="s">
        <v>414</v>
      </c>
      <c r="O337" s="223">
        <v>4.0</v>
      </c>
      <c r="P337" s="224">
        <f t="shared" si="1"/>
        <v>0.1085978836</v>
      </c>
      <c r="Q337" s="214" t="str">
        <f t="shared" si="2"/>
        <v>High</v>
      </c>
    </row>
    <row r="338" ht="15.75" customHeight="1">
      <c r="A338" s="214" t="s">
        <v>795</v>
      </c>
      <c r="B338" s="216">
        <v>1314.0</v>
      </c>
      <c r="C338" s="216">
        <v>490.0</v>
      </c>
      <c r="D338" s="217">
        <v>16.0</v>
      </c>
      <c r="E338" s="219" t="s">
        <v>216</v>
      </c>
      <c r="F338" s="219" t="s">
        <v>347</v>
      </c>
      <c r="G338" s="214" t="s">
        <v>392</v>
      </c>
      <c r="H338" s="221">
        <v>44520.0</v>
      </c>
      <c r="I338" s="219" t="s">
        <v>796</v>
      </c>
      <c r="J338" s="219" t="s">
        <v>223</v>
      </c>
      <c r="K338" s="219" t="s">
        <v>402</v>
      </c>
      <c r="L338" s="214" t="s">
        <v>451</v>
      </c>
      <c r="M338" s="222">
        <v>2021.0</v>
      </c>
      <c r="N338" s="214" t="s">
        <v>425</v>
      </c>
      <c r="O338" s="223">
        <v>4.0</v>
      </c>
      <c r="P338" s="224">
        <f t="shared" si="1"/>
        <v>0.3729071537</v>
      </c>
      <c r="Q338" s="214" t="str">
        <f t="shared" si="2"/>
        <v>Medium</v>
      </c>
    </row>
    <row r="339" ht="15.75" customHeight="1">
      <c r="A339" s="214" t="s">
        <v>795</v>
      </c>
      <c r="B339" s="216">
        <v>4390.0</v>
      </c>
      <c r="C339" s="216">
        <v>179.0</v>
      </c>
      <c r="D339" s="217">
        <v>1.0</v>
      </c>
      <c r="E339" s="219" t="s">
        <v>216</v>
      </c>
      <c r="F339" s="219" t="s">
        <v>344</v>
      </c>
      <c r="G339" s="214" t="s">
        <v>351</v>
      </c>
      <c r="H339" s="221">
        <v>44520.0</v>
      </c>
      <c r="I339" s="219" t="s">
        <v>796</v>
      </c>
      <c r="J339" s="219" t="s">
        <v>223</v>
      </c>
      <c r="K339" s="219" t="s">
        <v>402</v>
      </c>
      <c r="L339" s="214" t="s">
        <v>451</v>
      </c>
      <c r="M339" s="222">
        <v>2021.0</v>
      </c>
      <c r="N339" s="214" t="s">
        <v>425</v>
      </c>
      <c r="O339" s="223">
        <v>4.0</v>
      </c>
      <c r="P339" s="224">
        <f t="shared" si="1"/>
        <v>0.04077448747</v>
      </c>
      <c r="Q339" s="214" t="str">
        <f t="shared" si="2"/>
        <v>Medium</v>
      </c>
    </row>
    <row r="340" ht="15.75" customHeight="1">
      <c r="A340" s="214" t="s">
        <v>795</v>
      </c>
      <c r="B340" s="216">
        <v>1150.0</v>
      </c>
      <c r="C340" s="216">
        <v>58.0</v>
      </c>
      <c r="D340" s="217">
        <v>7.0</v>
      </c>
      <c r="E340" s="219" t="s">
        <v>242</v>
      </c>
      <c r="F340" s="219" t="s">
        <v>362</v>
      </c>
      <c r="G340" s="214" t="s">
        <v>351</v>
      </c>
      <c r="H340" s="221">
        <v>44520.0</v>
      </c>
      <c r="I340" s="219" t="s">
        <v>796</v>
      </c>
      <c r="J340" s="219" t="s">
        <v>223</v>
      </c>
      <c r="K340" s="219" t="s">
        <v>402</v>
      </c>
      <c r="L340" s="214" t="s">
        <v>451</v>
      </c>
      <c r="M340" s="222">
        <v>2021.0</v>
      </c>
      <c r="N340" s="214" t="s">
        <v>425</v>
      </c>
      <c r="O340" s="223">
        <v>4.0</v>
      </c>
      <c r="P340" s="224">
        <f t="shared" si="1"/>
        <v>0.05043478261</v>
      </c>
      <c r="Q340" s="214" t="str">
        <f t="shared" si="2"/>
        <v>Medium</v>
      </c>
    </row>
    <row r="341" ht="15.75" customHeight="1">
      <c r="A341" s="214" t="s">
        <v>797</v>
      </c>
      <c r="B341" s="216">
        <v>1574.0</v>
      </c>
      <c r="C341" s="216">
        <v>258.0</v>
      </c>
      <c r="D341" s="217">
        <v>17.0</v>
      </c>
      <c r="E341" s="219" t="s">
        <v>242</v>
      </c>
      <c r="F341" s="219" t="s">
        <v>356</v>
      </c>
      <c r="G341" s="214" t="s">
        <v>406</v>
      </c>
      <c r="H341" s="221">
        <v>44089.0</v>
      </c>
      <c r="I341" s="219" t="s">
        <v>798</v>
      </c>
      <c r="J341" s="219" t="s">
        <v>117</v>
      </c>
      <c r="K341" s="219" t="s">
        <v>496</v>
      </c>
      <c r="L341" s="214" t="s">
        <v>434</v>
      </c>
      <c r="M341" s="222">
        <v>2020.0</v>
      </c>
      <c r="N341" s="214" t="s">
        <v>536</v>
      </c>
      <c r="O341" s="223">
        <v>3.0</v>
      </c>
      <c r="P341" s="224">
        <f t="shared" si="1"/>
        <v>0.1639135959</v>
      </c>
      <c r="Q341" s="214" t="str">
        <f t="shared" si="2"/>
        <v>Medium</v>
      </c>
    </row>
    <row r="342" ht="15.75" customHeight="1">
      <c r="A342" s="214" t="s">
        <v>797</v>
      </c>
      <c r="B342" s="216">
        <v>5635.0</v>
      </c>
      <c r="C342" s="216">
        <v>318.0</v>
      </c>
      <c r="D342" s="217">
        <v>17.0</v>
      </c>
      <c r="E342" s="219" t="s">
        <v>242</v>
      </c>
      <c r="F342" s="219" t="s">
        <v>362</v>
      </c>
      <c r="G342" s="214" t="s">
        <v>392</v>
      </c>
      <c r="H342" s="221">
        <v>44089.0</v>
      </c>
      <c r="I342" s="219" t="s">
        <v>798</v>
      </c>
      <c r="J342" s="219" t="s">
        <v>117</v>
      </c>
      <c r="K342" s="219" t="s">
        <v>496</v>
      </c>
      <c r="L342" s="214" t="s">
        <v>434</v>
      </c>
      <c r="M342" s="222">
        <v>2020.0</v>
      </c>
      <c r="N342" s="214" t="s">
        <v>536</v>
      </c>
      <c r="O342" s="223">
        <v>3.0</v>
      </c>
      <c r="P342" s="224">
        <f t="shared" si="1"/>
        <v>0.05643300799</v>
      </c>
      <c r="Q342" s="214" t="str">
        <f t="shared" si="2"/>
        <v>High</v>
      </c>
    </row>
    <row r="343" ht="15.75" customHeight="1">
      <c r="A343" s="214" t="s">
        <v>797</v>
      </c>
      <c r="B343" s="216">
        <v>6515.0</v>
      </c>
      <c r="C343" s="216">
        <v>961.0</v>
      </c>
      <c r="D343" s="217">
        <v>11.0</v>
      </c>
      <c r="E343" s="219" t="s">
        <v>216</v>
      </c>
      <c r="F343" s="219" t="s">
        <v>347</v>
      </c>
      <c r="G343" s="214" t="s">
        <v>351</v>
      </c>
      <c r="H343" s="221">
        <v>44089.0</v>
      </c>
      <c r="I343" s="219" t="s">
        <v>798</v>
      </c>
      <c r="J343" s="219" t="s">
        <v>117</v>
      </c>
      <c r="K343" s="219" t="s">
        <v>496</v>
      </c>
      <c r="L343" s="214" t="s">
        <v>434</v>
      </c>
      <c r="M343" s="222">
        <v>2020.0</v>
      </c>
      <c r="N343" s="214" t="s">
        <v>536</v>
      </c>
      <c r="O343" s="223">
        <v>3.0</v>
      </c>
      <c r="P343" s="224">
        <f t="shared" si="1"/>
        <v>0.1475057559</v>
      </c>
      <c r="Q343" s="214" t="str">
        <f t="shared" si="2"/>
        <v>High</v>
      </c>
    </row>
    <row r="344" ht="15.75" customHeight="1">
      <c r="A344" s="214" t="s">
        <v>799</v>
      </c>
      <c r="B344" s="216">
        <v>1231.0</v>
      </c>
      <c r="C344" s="216">
        <v>214.0</v>
      </c>
      <c r="D344" s="217">
        <v>20.0</v>
      </c>
      <c r="E344" s="219" t="s">
        <v>157</v>
      </c>
      <c r="F344" s="219" t="s">
        <v>360</v>
      </c>
      <c r="G344" s="214" t="s">
        <v>351</v>
      </c>
      <c r="H344" s="221">
        <v>44943.0</v>
      </c>
      <c r="I344" s="219" t="s">
        <v>800</v>
      </c>
      <c r="J344" s="219" t="s">
        <v>313</v>
      </c>
      <c r="K344" s="219" t="s">
        <v>512</v>
      </c>
      <c r="L344" s="214" t="s">
        <v>465</v>
      </c>
      <c r="M344" s="222">
        <v>2023.0</v>
      </c>
      <c r="N344" s="214" t="s">
        <v>497</v>
      </c>
      <c r="O344" s="223">
        <v>1.0</v>
      </c>
      <c r="P344" s="224">
        <f t="shared" si="1"/>
        <v>0.1738424045</v>
      </c>
      <c r="Q344" s="214" t="str">
        <f t="shared" si="2"/>
        <v>Medium</v>
      </c>
    </row>
    <row r="345" ht="15.75" customHeight="1">
      <c r="A345" s="214" t="s">
        <v>799</v>
      </c>
      <c r="B345" s="216">
        <v>1231.0</v>
      </c>
      <c r="C345" s="216">
        <v>214.0</v>
      </c>
      <c r="D345" s="217">
        <v>20.0</v>
      </c>
      <c r="E345" s="219" t="s">
        <v>157</v>
      </c>
      <c r="F345" s="219" t="s">
        <v>360</v>
      </c>
      <c r="G345" s="214" t="s">
        <v>351</v>
      </c>
      <c r="H345" s="221">
        <v>43998.0</v>
      </c>
      <c r="I345" s="219" t="s">
        <v>801</v>
      </c>
      <c r="J345" s="219" t="s">
        <v>223</v>
      </c>
      <c r="K345" s="219" t="s">
        <v>473</v>
      </c>
      <c r="L345" s="214" t="s">
        <v>421</v>
      </c>
      <c r="M345" s="222">
        <v>2020.0</v>
      </c>
      <c r="N345" s="214" t="s">
        <v>396</v>
      </c>
      <c r="O345" s="223">
        <v>2.0</v>
      </c>
      <c r="P345" s="224">
        <f t="shared" si="1"/>
        <v>0.1738424045</v>
      </c>
      <c r="Q345" s="214" t="str">
        <f t="shared" si="2"/>
        <v>Medium</v>
      </c>
    </row>
    <row r="346" ht="15.75" customHeight="1">
      <c r="A346" s="214" t="s">
        <v>802</v>
      </c>
      <c r="B346" s="216">
        <v>6891.0</v>
      </c>
      <c r="C346" s="216">
        <v>2529.0</v>
      </c>
      <c r="D346" s="217">
        <v>3.0</v>
      </c>
      <c r="E346" s="219" t="s">
        <v>242</v>
      </c>
      <c r="F346" s="219" t="s">
        <v>362</v>
      </c>
      <c r="G346" s="214" t="s">
        <v>351</v>
      </c>
      <c r="H346" s="221">
        <v>45413.0</v>
      </c>
      <c r="I346" s="219" t="s">
        <v>803</v>
      </c>
      <c r="J346" s="219" t="s">
        <v>313</v>
      </c>
      <c r="K346" s="219" t="s">
        <v>526</v>
      </c>
      <c r="L346" s="214" t="s">
        <v>410</v>
      </c>
      <c r="M346" s="222">
        <v>2024.0</v>
      </c>
      <c r="N346" s="214" t="s">
        <v>411</v>
      </c>
      <c r="O346" s="223">
        <v>2.0</v>
      </c>
      <c r="P346" s="224">
        <f t="shared" si="1"/>
        <v>0.3670004354</v>
      </c>
      <c r="Q346" s="214" t="str">
        <f t="shared" si="2"/>
        <v>High</v>
      </c>
    </row>
    <row r="347" ht="15.75" customHeight="1">
      <c r="A347" s="214" t="s">
        <v>804</v>
      </c>
      <c r="B347" s="216">
        <v>7524.0</v>
      </c>
      <c r="C347" s="216">
        <v>2308.0</v>
      </c>
      <c r="D347" s="217">
        <v>15.0</v>
      </c>
      <c r="E347" s="219" t="s">
        <v>157</v>
      </c>
      <c r="F347" s="219" t="s">
        <v>360</v>
      </c>
      <c r="G347" s="214" t="s">
        <v>406</v>
      </c>
      <c r="H347" s="221">
        <v>45267.0</v>
      </c>
      <c r="I347" s="219" t="s">
        <v>805</v>
      </c>
      <c r="J347" s="219" t="s">
        <v>241</v>
      </c>
      <c r="K347" s="219" t="s">
        <v>504</v>
      </c>
      <c r="L347" s="214" t="s">
        <v>476</v>
      </c>
      <c r="M347" s="222">
        <v>2023.0</v>
      </c>
      <c r="N347" s="214" t="s">
        <v>400</v>
      </c>
      <c r="O347" s="223">
        <v>4.0</v>
      </c>
      <c r="P347" s="224">
        <f t="shared" si="1"/>
        <v>0.3067517278</v>
      </c>
      <c r="Q347" s="214" t="str">
        <f t="shared" si="2"/>
        <v>High</v>
      </c>
    </row>
    <row r="348" ht="15.75" customHeight="1">
      <c r="A348" s="214" t="s">
        <v>804</v>
      </c>
      <c r="B348" s="216">
        <v>6864.0</v>
      </c>
      <c r="C348" s="216">
        <v>1824.0</v>
      </c>
      <c r="D348" s="217">
        <v>14.0</v>
      </c>
      <c r="E348" s="219" t="s">
        <v>157</v>
      </c>
      <c r="F348" s="219" t="s">
        <v>354</v>
      </c>
      <c r="G348" s="214" t="s">
        <v>350</v>
      </c>
      <c r="H348" s="221">
        <v>45267.0</v>
      </c>
      <c r="I348" s="219" t="s">
        <v>805</v>
      </c>
      <c r="J348" s="219" t="s">
        <v>241</v>
      </c>
      <c r="K348" s="219" t="s">
        <v>504</v>
      </c>
      <c r="L348" s="214" t="s">
        <v>476</v>
      </c>
      <c r="M348" s="222">
        <v>2023.0</v>
      </c>
      <c r="N348" s="214" t="s">
        <v>400</v>
      </c>
      <c r="O348" s="223">
        <v>4.0</v>
      </c>
      <c r="P348" s="224">
        <f t="shared" si="1"/>
        <v>0.2657342657</v>
      </c>
      <c r="Q348" s="214" t="str">
        <f t="shared" si="2"/>
        <v>High</v>
      </c>
    </row>
    <row r="349" ht="15.75" customHeight="1">
      <c r="A349" s="214" t="s">
        <v>806</v>
      </c>
      <c r="B349" s="216">
        <v>4215.0</v>
      </c>
      <c r="C349" s="216">
        <v>432.0</v>
      </c>
      <c r="D349" s="217">
        <v>14.0</v>
      </c>
      <c r="E349" s="219" t="s">
        <v>216</v>
      </c>
      <c r="F349" s="219" t="s">
        <v>359</v>
      </c>
      <c r="G349" s="214" t="s">
        <v>351</v>
      </c>
      <c r="H349" s="221">
        <v>45324.0</v>
      </c>
      <c r="I349" s="219" t="s">
        <v>807</v>
      </c>
      <c r="J349" s="219" t="s">
        <v>313</v>
      </c>
      <c r="K349" s="219" t="s">
        <v>512</v>
      </c>
      <c r="L349" s="214" t="s">
        <v>478</v>
      </c>
      <c r="M349" s="222">
        <v>2024.0</v>
      </c>
      <c r="N349" s="214" t="s">
        <v>494</v>
      </c>
      <c r="O349" s="223">
        <v>1.0</v>
      </c>
      <c r="P349" s="224">
        <f t="shared" si="1"/>
        <v>0.1024911032</v>
      </c>
      <c r="Q349" s="214" t="str">
        <f t="shared" si="2"/>
        <v>Medium</v>
      </c>
    </row>
    <row r="350" ht="15.75" customHeight="1">
      <c r="A350" s="214" t="s">
        <v>808</v>
      </c>
      <c r="B350" s="216">
        <v>622.0</v>
      </c>
      <c r="C350" s="216">
        <v>218.0</v>
      </c>
      <c r="D350" s="217">
        <v>19.0</v>
      </c>
      <c r="E350" s="219" t="s">
        <v>216</v>
      </c>
      <c r="F350" s="219" t="s">
        <v>361</v>
      </c>
      <c r="G350" s="214" t="s">
        <v>350</v>
      </c>
      <c r="H350" s="221">
        <v>45466.0</v>
      </c>
      <c r="I350" s="219" t="s">
        <v>809</v>
      </c>
      <c r="J350" s="219" t="s">
        <v>117</v>
      </c>
      <c r="K350" s="219" t="s">
        <v>496</v>
      </c>
      <c r="L350" s="214" t="s">
        <v>481</v>
      </c>
      <c r="M350" s="222">
        <v>2024.0</v>
      </c>
      <c r="N350" s="214" t="s">
        <v>396</v>
      </c>
      <c r="O350" s="223">
        <v>2.0</v>
      </c>
      <c r="P350" s="224">
        <f t="shared" si="1"/>
        <v>0.3504823151</v>
      </c>
      <c r="Q350" s="214" t="str">
        <f t="shared" si="2"/>
        <v>Medium</v>
      </c>
    </row>
    <row r="351" ht="15.75" customHeight="1">
      <c r="A351" s="214" t="s">
        <v>808</v>
      </c>
      <c r="B351" s="216">
        <v>1755.0</v>
      </c>
      <c r="C351" s="216">
        <v>495.0</v>
      </c>
      <c r="D351" s="217">
        <v>18.0</v>
      </c>
      <c r="E351" s="219" t="s">
        <v>242</v>
      </c>
      <c r="F351" s="219" t="s">
        <v>356</v>
      </c>
      <c r="G351" s="214" t="s">
        <v>392</v>
      </c>
      <c r="H351" s="221">
        <v>45466.0</v>
      </c>
      <c r="I351" s="219" t="s">
        <v>809</v>
      </c>
      <c r="J351" s="219" t="s">
        <v>117</v>
      </c>
      <c r="K351" s="219" t="s">
        <v>496</v>
      </c>
      <c r="L351" s="214" t="s">
        <v>481</v>
      </c>
      <c r="M351" s="222">
        <v>2024.0</v>
      </c>
      <c r="N351" s="214" t="s">
        <v>396</v>
      </c>
      <c r="O351" s="223">
        <v>2.0</v>
      </c>
      <c r="P351" s="224">
        <f t="shared" si="1"/>
        <v>0.2820512821</v>
      </c>
      <c r="Q351" s="214" t="str">
        <f t="shared" si="2"/>
        <v>Medium</v>
      </c>
    </row>
    <row r="352" ht="15.75" customHeight="1">
      <c r="A352" s="214" t="s">
        <v>808</v>
      </c>
      <c r="B352" s="216">
        <v>8020.0</v>
      </c>
      <c r="C352" s="216">
        <v>3898.0</v>
      </c>
      <c r="D352" s="217">
        <v>20.0</v>
      </c>
      <c r="E352" s="219" t="s">
        <v>157</v>
      </c>
      <c r="F352" s="219" t="s">
        <v>355</v>
      </c>
      <c r="G352" s="214" t="s">
        <v>406</v>
      </c>
      <c r="H352" s="221">
        <v>45466.0</v>
      </c>
      <c r="I352" s="219" t="s">
        <v>809</v>
      </c>
      <c r="J352" s="219" t="s">
        <v>117</v>
      </c>
      <c r="K352" s="219" t="s">
        <v>496</v>
      </c>
      <c r="L352" s="214" t="s">
        <v>481</v>
      </c>
      <c r="M352" s="222">
        <v>2024.0</v>
      </c>
      <c r="N352" s="214" t="s">
        <v>396</v>
      </c>
      <c r="O352" s="223">
        <v>2.0</v>
      </c>
      <c r="P352" s="224">
        <f t="shared" si="1"/>
        <v>0.4860349127</v>
      </c>
      <c r="Q352" s="214" t="str">
        <f t="shared" si="2"/>
        <v>High</v>
      </c>
    </row>
    <row r="353" ht="15.75" customHeight="1">
      <c r="A353" s="214" t="s">
        <v>810</v>
      </c>
      <c r="B353" s="216">
        <v>7333.0</v>
      </c>
      <c r="C353" s="216">
        <v>1576.0</v>
      </c>
      <c r="D353" s="217">
        <v>4.0</v>
      </c>
      <c r="E353" s="219" t="s">
        <v>157</v>
      </c>
      <c r="F353" s="219" t="s">
        <v>360</v>
      </c>
      <c r="G353" s="214" t="s">
        <v>350</v>
      </c>
      <c r="H353" s="221">
        <v>45450.0</v>
      </c>
      <c r="I353" s="219" t="s">
        <v>811</v>
      </c>
      <c r="J353" s="219" t="s">
        <v>223</v>
      </c>
      <c r="K353" s="219" t="s">
        <v>402</v>
      </c>
      <c r="L353" s="214" t="s">
        <v>481</v>
      </c>
      <c r="M353" s="222">
        <v>2024.0</v>
      </c>
      <c r="N353" s="214" t="s">
        <v>396</v>
      </c>
      <c r="O353" s="223">
        <v>2.0</v>
      </c>
      <c r="P353" s="224">
        <f t="shared" si="1"/>
        <v>0.2149188599</v>
      </c>
      <c r="Q353" s="214" t="str">
        <f t="shared" si="2"/>
        <v>High</v>
      </c>
    </row>
    <row r="354" ht="15.75" customHeight="1">
      <c r="A354" s="214" t="s">
        <v>812</v>
      </c>
      <c r="B354" s="216">
        <v>7690.0</v>
      </c>
      <c r="C354" s="216">
        <v>1134.0</v>
      </c>
      <c r="D354" s="217">
        <v>4.0</v>
      </c>
      <c r="E354" s="219" t="s">
        <v>157</v>
      </c>
      <c r="F354" s="219" t="s">
        <v>355</v>
      </c>
      <c r="G354" s="214" t="s">
        <v>405</v>
      </c>
      <c r="H354" s="221">
        <v>45212.0</v>
      </c>
      <c r="I354" s="219" t="s">
        <v>813</v>
      </c>
      <c r="J354" s="219" t="s">
        <v>223</v>
      </c>
      <c r="K354" s="219" t="s">
        <v>473</v>
      </c>
      <c r="L354" s="214" t="s">
        <v>475</v>
      </c>
      <c r="M354" s="222">
        <v>2023.0</v>
      </c>
      <c r="N354" s="214" t="s">
        <v>414</v>
      </c>
      <c r="O354" s="223">
        <v>4.0</v>
      </c>
      <c r="P354" s="224">
        <f t="shared" si="1"/>
        <v>0.1474642393</v>
      </c>
      <c r="Q354" s="214" t="str">
        <f t="shared" si="2"/>
        <v>High</v>
      </c>
    </row>
    <row r="355" ht="15.75" customHeight="1">
      <c r="A355" s="214" t="s">
        <v>812</v>
      </c>
      <c r="B355" s="216">
        <v>912.0</v>
      </c>
      <c r="C355" s="216">
        <v>246.0</v>
      </c>
      <c r="D355" s="217">
        <v>2.0</v>
      </c>
      <c r="E355" s="219" t="s">
        <v>216</v>
      </c>
      <c r="F355" s="219" t="s">
        <v>347</v>
      </c>
      <c r="G355" s="214" t="s">
        <v>406</v>
      </c>
      <c r="H355" s="221">
        <v>45212.0</v>
      </c>
      <c r="I355" s="219" t="s">
        <v>813</v>
      </c>
      <c r="J355" s="219" t="s">
        <v>223</v>
      </c>
      <c r="K355" s="219" t="s">
        <v>473</v>
      </c>
      <c r="L355" s="214" t="s">
        <v>475</v>
      </c>
      <c r="M355" s="222">
        <v>2023.0</v>
      </c>
      <c r="N355" s="214" t="s">
        <v>414</v>
      </c>
      <c r="O355" s="223">
        <v>4.0</v>
      </c>
      <c r="P355" s="224">
        <f t="shared" si="1"/>
        <v>0.2697368421</v>
      </c>
      <c r="Q355" s="214" t="str">
        <f t="shared" si="2"/>
        <v>Medium</v>
      </c>
    </row>
    <row r="356" ht="15.75" customHeight="1">
      <c r="A356" s="214" t="s">
        <v>814</v>
      </c>
      <c r="B356" s="216">
        <v>2791.0</v>
      </c>
      <c r="C356" s="216">
        <v>894.0</v>
      </c>
      <c r="D356" s="217">
        <v>14.0</v>
      </c>
      <c r="E356" s="219" t="s">
        <v>157</v>
      </c>
      <c r="F356" s="219" t="s">
        <v>360</v>
      </c>
      <c r="G356" s="214" t="s">
        <v>405</v>
      </c>
      <c r="H356" s="221">
        <v>44842.0</v>
      </c>
      <c r="I356" s="219" t="s">
        <v>815</v>
      </c>
      <c r="J356" s="219" t="s">
        <v>241</v>
      </c>
      <c r="K356" s="219" t="s">
        <v>504</v>
      </c>
      <c r="L356" s="214" t="s">
        <v>463</v>
      </c>
      <c r="M356" s="222">
        <v>2022.0</v>
      </c>
      <c r="N356" s="214" t="s">
        <v>414</v>
      </c>
      <c r="O356" s="223">
        <v>4.0</v>
      </c>
      <c r="P356" s="224">
        <f t="shared" si="1"/>
        <v>0.3203152992</v>
      </c>
      <c r="Q356" s="214" t="str">
        <f t="shared" si="2"/>
        <v>Medium</v>
      </c>
    </row>
    <row r="357" ht="15.75" customHeight="1">
      <c r="A357" s="214" t="s">
        <v>814</v>
      </c>
      <c r="B357" s="216">
        <v>2791.0</v>
      </c>
      <c r="C357" s="216">
        <v>894.0</v>
      </c>
      <c r="D357" s="217">
        <v>14.0</v>
      </c>
      <c r="E357" s="219" t="s">
        <v>157</v>
      </c>
      <c r="F357" s="219" t="s">
        <v>360</v>
      </c>
      <c r="G357" s="214" t="s">
        <v>405</v>
      </c>
      <c r="H357" s="221">
        <v>45226.0</v>
      </c>
      <c r="I357" s="219" t="s">
        <v>816</v>
      </c>
      <c r="J357" s="219" t="s">
        <v>313</v>
      </c>
      <c r="K357" s="219" t="s">
        <v>518</v>
      </c>
      <c r="L357" s="214" t="s">
        <v>475</v>
      </c>
      <c r="M357" s="222">
        <v>2023.0</v>
      </c>
      <c r="N357" s="214" t="s">
        <v>414</v>
      </c>
      <c r="O357" s="223">
        <v>4.0</v>
      </c>
      <c r="P357" s="224">
        <f t="shared" si="1"/>
        <v>0.3203152992</v>
      </c>
      <c r="Q357" s="214" t="str">
        <f t="shared" si="2"/>
        <v>Medium</v>
      </c>
    </row>
    <row r="358" ht="15.75" customHeight="1">
      <c r="A358" s="214" t="s">
        <v>814</v>
      </c>
      <c r="B358" s="216">
        <v>2791.0</v>
      </c>
      <c r="C358" s="216">
        <v>894.0</v>
      </c>
      <c r="D358" s="217">
        <v>14.0</v>
      </c>
      <c r="E358" s="219" t="s">
        <v>157</v>
      </c>
      <c r="F358" s="219" t="s">
        <v>360</v>
      </c>
      <c r="G358" s="214" t="s">
        <v>405</v>
      </c>
      <c r="H358" s="221">
        <v>44236.0</v>
      </c>
      <c r="I358" s="219" t="s">
        <v>817</v>
      </c>
      <c r="J358" s="219" t="s">
        <v>241</v>
      </c>
      <c r="K358" s="219" t="s">
        <v>493</v>
      </c>
      <c r="L358" s="214" t="s">
        <v>439</v>
      </c>
      <c r="M358" s="222">
        <v>2021.0</v>
      </c>
      <c r="N358" s="214" t="s">
        <v>494</v>
      </c>
      <c r="O358" s="223">
        <v>1.0</v>
      </c>
      <c r="P358" s="224">
        <f t="shared" si="1"/>
        <v>0.3203152992</v>
      </c>
      <c r="Q358" s="214" t="str">
        <f t="shared" si="2"/>
        <v>Medium</v>
      </c>
    </row>
    <row r="359" ht="15.75" customHeight="1">
      <c r="A359" s="214" t="s">
        <v>814</v>
      </c>
      <c r="B359" s="216">
        <v>6223.0</v>
      </c>
      <c r="C359" s="216">
        <v>1478.0</v>
      </c>
      <c r="D359" s="217">
        <v>3.0</v>
      </c>
      <c r="E359" s="219" t="s">
        <v>216</v>
      </c>
      <c r="F359" s="219" t="s">
        <v>347</v>
      </c>
      <c r="G359" s="214" t="s">
        <v>351</v>
      </c>
      <c r="H359" s="221">
        <v>44842.0</v>
      </c>
      <c r="I359" s="219" t="s">
        <v>815</v>
      </c>
      <c r="J359" s="219" t="s">
        <v>241</v>
      </c>
      <c r="K359" s="219" t="s">
        <v>504</v>
      </c>
      <c r="L359" s="214" t="s">
        <v>463</v>
      </c>
      <c r="M359" s="222">
        <v>2022.0</v>
      </c>
      <c r="N359" s="214" t="s">
        <v>414</v>
      </c>
      <c r="O359" s="223">
        <v>4.0</v>
      </c>
      <c r="P359" s="224">
        <f t="shared" si="1"/>
        <v>0.237506026</v>
      </c>
      <c r="Q359" s="214" t="str">
        <f t="shared" si="2"/>
        <v>High</v>
      </c>
    </row>
    <row r="360" ht="15.75" customHeight="1">
      <c r="A360" s="214" t="s">
        <v>814</v>
      </c>
      <c r="B360" s="216">
        <v>6223.0</v>
      </c>
      <c r="C360" s="216">
        <v>1478.0</v>
      </c>
      <c r="D360" s="217">
        <v>3.0</v>
      </c>
      <c r="E360" s="219" t="s">
        <v>216</v>
      </c>
      <c r="F360" s="219" t="s">
        <v>347</v>
      </c>
      <c r="G360" s="214" t="s">
        <v>351</v>
      </c>
      <c r="H360" s="221">
        <v>45226.0</v>
      </c>
      <c r="I360" s="219" t="s">
        <v>816</v>
      </c>
      <c r="J360" s="219" t="s">
        <v>313</v>
      </c>
      <c r="K360" s="219" t="s">
        <v>518</v>
      </c>
      <c r="L360" s="214" t="s">
        <v>475</v>
      </c>
      <c r="M360" s="222">
        <v>2023.0</v>
      </c>
      <c r="N360" s="214" t="s">
        <v>414</v>
      </c>
      <c r="O360" s="223">
        <v>4.0</v>
      </c>
      <c r="P360" s="224">
        <f t="shared" si="1"/>
        <v>0.237506026</v>
      </c>
      <c r="Q360" s="214" t="str">
        <f t="shared" si="2"/>
        <v>High</v>
      </c>
    </row>
    <row r="361" ht="15.75" customHeight="1">
      <c r="A361" s="214" t="s">
        <v>814</v>
      </c>
      <c r="B361" s="216">
        <v>6223.0</v>
      </c>
      <c r="C361" s="216">
        <v>1478.0</v>
      </c>
      <c r="D361" s="217">
        <v>3.0</v>
      </c>
      <c r="E361" s="219" t="s">
        <v>216</v>
      </c>
      <c r="F361" s="219" t="s">
        <v>347</v>
      </c>
      <c r="G361" s="214" t="s">
        <v>351</v>
      </c>
      <c r="H361" s="221">
        <v>44236.0</v>
      </c>
      <c r="I361" s="219" t="s">
        <v>817</v>
      </c>
      <c r="J361" s="219" t="s">
        <v>241</v>
      </c>
      <c r="K361" s="219" t="s">
        <v>493</v>
      </c>
      <c r="L361" s="214" t="s">
        <v>439</v>
      </c>
      <c r="M361" s="222">
        <v>2021.0</v>
      </c>
      <c r="N361" s="214" t="s">
        <v>494</v>
      </c>
      <c r="O361" s="223">
        <v>1.0</v>
      </c>
      <c r="P361" s="224">
        <f t="shared" si="1"/>
        <v>0.237506026</v>
      </c>
      <c r="Q361" s="214" t="str">
        <f t="shared" si="2"/>
        <v>High</v>
      </c>
    </row>
    <row r="362" ht="15.75" customHeight="1">
      <c r="A362" s="214" t="s">
        <v>814</v>
      </c>
      <c r="B362" s="216">
        <v>8943.0</v>
      </c>
      <c r="C362" s="216">
        <v>3121.0</v>
      </c>
      <c r="D362" s="217">
        <v>17.0</v>
      </c>
      <c r="E362" s="219" t="s">
        <v>216</v>
      </c>
      <c r="F362" s="219" t="s">
        <v>359</v>
      </c>
      <c r="G362" s="214" t="s">
        <v>351</v>
      </c>
      <c r="H362" s="221">
        <v>44842.0</v>
      </c>
      <c r="I362" s="219" t="s">
        <v>815</v>
      </c>
      <c r="J362" s="219" t="s">
        <v>241</v>
      </c>
      <c r="K362" s="219" t="s">
        <v>504</v>
      </c>
      <c r="L362" s="214" t="s">
        <v>463</v>
      </c>
      <c r="M362" s="222">
        <v>2022.0</v>
      </c>
      <c r="N362" s="214" t="s">
        <v>414</v>
      </c>
      <c r="O362" s="223">
        <v>4.0</v>
      </c>
      <c r="P362" s="224">
        <f t="shared" si="1"/>
        <v>0.3489880353</v>
      </c>
      <c r="Q362" s="214" t="str">
        <f t="shared" si="2"/>
        <v>High</v>
      </c>
    </row>
    <row r="363" ht="15.75" customHeight="1">
      <c r="A363" s="214" t="s">
        <v>814</v>
      </c>
      <c r="B363" s="216">
        <v>8943.0</v>
      </c>
      <c r="C363" s="216">
        <v>3121.0</v>
      </c>
      <c r="D363" s="217">
        <v>17.0</v>
      </c>
      <c r="E363" s="219" t="s">
        <v>216</v>
      </c>
      <c r="F363" s="219" t="s">
        <v>359</v>
      </c>
      <c r="G363" s="214" t="s">
        <v>351</v>
      </c>
      <c r="H363" s="221">
        <v>45226.0</v>
      </c>
      <c r="I363" s="219" t="s">
        <v>816</v>
      </c>
      <c r="J363" s="219" t="s">
        <v>313</v>
      </c>
      <c r="K363" s="219" t="s">
        <v>518</v>
      </c>
      <c r="L363" s="214" t="s">
        <v>475</v>
      </c>
      <c r="M363" s="222">
        <v>2023.0</v>
      </c>
      <c r="N363" s="214" t="s">
        <v>414</v>
      </c>
      <c r="O363" s="223">
        <v>4.0</v>
      </c>
      <c r="P363" s="224">
        <f t="shared" si="1"/>
        <v>0.3489880353</v>
      </c>
      <c r="Q363" s="214" t="str">
        <f t="shared" si="2"/>
        <v>High</v>
      </c>
    </row>
    <row r="364" ht="15.75" customHeight="1">
      <c r="A364" s="214" t="s">
        <v>814</v>
      </c>
      <c r="B364" s="216">
        <v>8943.0</v>
      </c>
      <c r="C364" s="216">
        <v>3121.0</v>
      </c>
      <c r="D364" s="217">
        <v>17.0</v>
      </c>
      <c r="E364" s="219" t="s">
        <v>216</v>
      </c>
      <c r="F364" s="219" t="s">
        <v>359</v>
      </c>
      <c r="G364" s="214" t="s">
        <v>351</v>
      </c>
      <c r="H364" s="221">
        <v>44236.0</v>
      </c>
      <c r="I364" s="219" t="s">
        <v>817</v>
      </c>
      <c r="J364" s="219" t="s">
        <v>241</v>
      </c>
      <c r="K364" s="219" t="s">
        <v>493</v>
      </c>
      <c r="L364" s="214" t="s">
        <v>439</v>
      </c>
      <c r="M364" s="222">
        <v>2021.0</v>
      </c>
      <c r="N364" s="214" t="s">
        <v>494</v>
      </c>
      <c r="O364" s="223">
        <v>1.0</v>
      </c>
      <c r="P364" s="224">
        <f t="shared" si="1"/>
        <v>0.3489880353</v>
      </c>
      <c r="Q364" s="214" t="str">
        <f t="shared" si="2"/>
        <v>High</v>
      </c>
    </row>
    <row r="365" ht="15.75" customHeight="1">
      <c r="A365" s="214" t="s">
        <v>814</v>
      </c>
      <c r="B365" s="216">
        <v>3297.0</v>
      </c>
      <c r="C365" s="216">
        <v>102.0</v>
      </c>
      <c r="D365" s="217">
        <v>12.0</v>
      </c>
      <c r="E365" s="219" t="s">
        <v>157</v>
      </c>
      <c r="F365" s="219" t="s">
        <v>358</v>
      </c>
      <c r="G365" s="214" t="s">
        <v>350</v>
      </c>
      <c r="H365" s="221">
        <v>44842.0</v>
      </c>
      <c r="I365" s="219" t="s">
        <v>815</v>
      </c>
      <c r="J365" s="219" t="s">
        <v>241</v>
      </c>
      <c r="K365" s="219" t="s">
        <v>504</v>
      </c>
      <c r="L365" s="214" t="s">
        <v>463</v>
      </c>
      <c r="M365" s="222">
        <v>2022.0</v>
      </c>
      <c r="N365" s="214" t="s">
        <v>414</v>
      </c>
      <c r="O365" s="223">
        <v>4.0</v>
      </c>
      <c r="P365" s="224">
        <f t="shared" si="1"/>
        <v>0.03093721565</v>
      </c>
      <c r="Q365" s="214" t="str">
        <f t="shared" si="2"/>
        <v>Medium</v>
      </c>
    </row>
    <row r="366" ht="15.75" customHeight="1">
      <c r="A366" s="214" t="s">
        <v>814</v>
      </c>
      <c r="B366" s="216">
        <v>3297.0</v>
      </c>
      <c r="C366" s="216">
        <v>102.0</v>
      </c>
      <c r="D366" s="217">
        <v>12.0</v>
      </c>
      <c r="E366" s="219" t="s">
        <v>157</v>
      </c>
      <c r="F366" s="219" t="s">
        <v>358</v>
      </c>
      <c r="G366" s="214" t="s">
        <v>350</v>
      </c>
      <c r="H366" s="221">
        <v>45226.0</v>
      </c>
      <c r="I366" s="219" t="s">
        <v>816</v>
      </c>
      <c r="J366" s="219" t="s">
        <v>313</v>
      </c>
      <c r="K366" s="219" t="s">
        <v>518</v>
      </c>
      <c r="L366" s="214" t="s">
        <v>475</v>
      </c>
      <c r="M366" s="222">
        <v>2023.0</v>
      </c>
      <c r="N366" s="214" t="s">
        <v>414</v>
      </c>
      <c r="O366" s="223">
        <v>4.0</v>
      </c>
      <c r="P366" s="224">
        <f t="shared" si="1"/>
        <v>0.03093721565</v>
      </c>
      <c r="Q366" s="214" t="str">
        <f t="shared" si="2"/>
        <v>Medium</v>
      </c>
    </row>
    <row r="367" ht="15.75" customHeight="1">
      <c r="A367" s="214" t="s">
        <v>814</v>
      </c>
      <c r="B367" s="216">
        <v>3297.0</v>
      </c>
      <c r="C367" s="216">
        <v>102.0</v>
      </c>
      <c r="D367" s="217">
        <v>12.0</v>
      </c>
      <c r="E367" s="219" t="s">
        <v>157</v>
      </c>
      <c r="F367" s="219" t="s">
        <v>358</v>
      </c>
      <c r="G367" s="214" t="s">
        <v>350</v>
      </c>
      <c r="H367" s="221">
        <v>44236.0</v>
      </c>
      <c r="I367" s="219" t="s">
        <v>817</v>
      </c>
      <c r="J367" s="219" t="s">
        <v>241</v>
      </c>
      <c r="K367" s="219" t="s">
        <v>493</v>
      </c>
      <c r="L367" s="214" t="s">
        <v>439</v>
      </c>
      <c r="M367" s="222">
        <v>2021.0</v>
      </c>
      <c r="N367" s="214" t="s">
        <v>494</v>
      </c>
      <c r="O367" s="223">
        <v>1.0</v>
      </c>
      <c r="P367" s="224">
        <f t="shared" si="1"/>
        <v>0.03093721565</v>
      </c>
      <c r="Q367" s="214" t="str">
        <f t="shared" si="2"/>
        <v>Medium</v>
      </c>
    </row>
    <row r="368" ht="15.75" customHeight="1">
      <c r="A368" s="214" t="s">
        <v>818</v>
      </c>
      <c r="B368" s="216">
        <v>8769.0</v>
      </c>
      <c r="C368" s="216">
        <v>1989.0</v>
      </c>
      <c r="D368" s="217">
        <v>20.0</v>
      </c>
      <c r="E368" s="219" t="s">
        <v>242</v>
      </c>
      <c r="F368" s="219" t="s">
        <v>357</v>
      </c>
      <c r="G368" s="214" t="s">
        <v>392</v>
      </c>
      <c r="H368" s="221">
        <v>44138.0</v>
      </c>
      <c r="I368" s="219" t="s">
        <v>819</v>
      </c>
      <c r="J368" s="219" t="s">
        <v>271</v>
      </c>
      <c r="K368" s="219" t="s">
        <v>398</v>
      </c>
      <c r="L368" s="214" t="s">
        <v>436</v>
      </c>
      <c r="M368" s="222">
        <v>2020.0</v>
      </c>
      <c r="N368" s="214" t="s">
        <v>425</v>
      </c>
      <c r="O368" s="223">
        <v>4.0</v>
      </c>
      <c r="P368" s="224">
        <f t="shared" si="1"/>
        <v>0.2268217585</v>
      </c>
      <c r="Q368" s="214" t="str">
        <f t="shared" si="2"/>
        <v>High</v>
      </c>
    </row>
    <row r="369" ht="15.75" customHeight="1">
      <c r="A369" s="214" t="s">
        <v>820</v>
      </c>
      <c r="B369" s="216">
        <v>9057.0</v>
      </c>
      <c r="C369" s="216">
        <v>1888.0</v>
      </c>
      <c r="D369" s="217">
        <v>19.0</v>
      </c>
      <c r="E369" s="219" t="s">
        <v>157</v>
      </c>
      <c r="F369" s="219" t="s">
        <v>354</v>
      </c>
      <c r="G369" s="214" t="s">
        <v>405</v>
      </c>
      <c r="H369" s="221">
        <v>44711.0</v>
      </c>
      <c r="I369" s="219" t="s">
        <v>821</v>
      </c>
      <c r="J369" s="219" t="s">
        <v>159</v>
      </c>
      <c r="K369" s="219" t="s">
        <v>409</v>
      </c>
      <c r="L369" s="214" t="s">
        <v>457</v>
      </c>
      <c r="M369" s="222">
        <v>2022.0</v>
      </c>
      <c r="N369" s="214" t="s">
        <v>411</v>
      </c>
      <c r="O369" s="223">
        <v>2.0</v>
      </c>
      <c r="P369" s="224">
        <f t="shared" si="1"/>
        <v>0.2084575466</v>
      </c>
      <c r="Q369" s="214" t="str">
        <f t="shared" si="2"/>
        <v>High</v>
      </c>
    </row>
    <row r="370" ht="15.75" customHeight="1">
      <c r="A370" s="214" t="s">
        <v>820</v>
      </c>
      <c r="B370" s="216">
        <v>6864.0</v>
      </c>
      <c r="C370" s="216">
        <v>3275.0</v>
      </c>
      <c r="D370" s="217">
        <v>11.0</v>
      </c>
      <c r="E370" s="219" t="s">
        <v>216</v>
      </c>
      <c r="F370" s="219" t="s">
        <v>344</v>
      </c>
      <c r="G370" s="214" t="s">
        <v>350</v>
      </c>
      <c r="H370" s="221">
        <v>44711.0</v>
      </c>
      <c r="I370" s="219" t="s">
        <v>821</v>
      </c>
      <c r="J370" s="219" t="s">
        <v>159</v>
      </c>
      <c r="K370" s="219" t="s">
        <v>409</v>
      </c>
      <c r="L370" s="214" t="s">
        <v>457</v>
      </c>
      <c r="M370" s="222">
        <v>2022.0</v>
      </c>
      <c r="N370" s="214" t="s">
        <v>411</v>
      </c>
      <c r="O370" s="223">
        <v>2.0</v>
      </c>
      <c r="P370" s="224">
        <f t="shared" si="1"/>
        <v>0.4771270396</v>
      </c>
      <c r="Q370" s="214" t="str">
        <f t="shared" si="2"/>
        <v>High</v>
      </c>
    </row>
    <row r="371" ht="15.75" customHeight="1">
      <c r="A371" s="214" t="s">
        <v>820</v>
      </c>
      <c r="B371" s="216">
        <v>9200.0</v>
      </c>
      <c r="C371" s="216">
        <v>809.0</v>
      </c>
      <c r="D371" s="217">
        <v>13.0</v>
      </c>
      <c r="E371" s="219" t="s">
        <v>157</v>
      </c>
      <c r="F371" s="219" t="s">
        <v>360</v>
      </c>
      <c r="G371" s="214" t="s">
        <v>405</v>
      </c>
      <c r="H371" s="221">
        <v>44711.0</v>
      </c>
      <c r="I371" s="219" t="s">
        <v>821</v>
      </c>
      <c r="J371" s="219" t="s">
        <v>159</v>
      </c>
      <c r="K371" s="219" t="s">
        <v>409</v>
      </c>
      <c r="L371" s="214" t="s">
        <v>457</v>
      </c>
      <c r="M371" s="222">
        <v>2022.0</v>
      </c>
      <c r="N371" s="214" t="s">
        <v>411</v>
      </c>
      <c r="O371" s="223">
        <v>2.0</v>
      </c>
      <c r="P371" s="224">
        <f t="shared" si="1"/>
        <v>0.08793478261</v>
      </c>
      <c r="Q371" s="214" t="str">
        <f t="shared" si="2"/>
        <v>High</v>
      </c>
    </row>
    <row r="372" ht="15.75" customHeight="1">
      <c r="A372" s="214" t="s">
        <v>822</v>
      </c>
      <c r="B372" s="216">
        <v>6113.0</v>
      </c>
      <c r="C372" s="216">
        <v>2508.0</v>
      </c>
      <c r="D372" s="217">
        <v>6.0</v>
      </c>
      <c r="E372" s="219" t="s">
        <v>157</v>
      </c>
      <c r="F372" s="219" t="s">
        <v>360</v>
      </c>
      <c r="G372" s="214" t="s">
        <v>392</v>
      </c>
      <c r="H372" s="221">
        <v>45459.0</v>
      </c>
      <c r="I372" s="219" t="s">
        <v>823</v>
      </c>
      <c r="J372" s="219" t="s">
        <v>159</v>
      </c>
      <c r="K372" s="219" t="s">
        <v>409</v>
      </c>
      <c r="L372" s="214" t="s">
        <v>481</v>
      </c>
      <c r="M372" s="222">
        <v>2024.0</v>
      </c>
      <c r="N372" s="214" t="s">
        <v>396</v>
      </c>
      <c r="O372" s="223">
        <v>2.0</v>
      </c>
      <c r="P372" s="224">
        <f t="shared" si="1"/>
        <v>0.4102731883</v>
      </c>
      <c r="Q372" s="214" t="str">
        <f t="shared" si="2"/>
        <v>High</v>
      </c>
    </row>
    <row r="373" ht="15.75" customHeight="1">
      <c r="A373" s="214" t="s">
        <v>822</v>
      </c>
      <c r="B373" s="216">
        <v>7733.0</v>
      </c>
      <c r="C373" s="216">
        <v>2784.0</v>
      </c>
      <c r="D373" s="217">
        <v>15.0</v>
      </c>
      <c r="E373" s="219" t="s">
        <v>216</v>
      </c>
      <c r="F373" s="219" t="s">
        <v>344</v>
      </c>
      <c r="G373" s="214" t="s">
        <v>406</v>
      </c>
      <c r="H373" s="221">
        <v>45459.0</v>
      </c>
      <c r="I373" s="219" t="s">
        <v>823</v>
      </c>
      <c r="J373" s="219" t="s">
        <v>159</v>
      </c>
      <c r="K373" s="219" t="s">
        <v>409</v>
      </c>
      <c r="L373" s="214" t="s">
        <v>481</v>
      </c>
      <c r="M373" s="222">
        <v>2024.0</v>
      </c>
      <c r="N373" s="214" t="s">
        <v>396</v>
      </c>
      <c r="O373" s="223">
        <v>2.0</v>
      </c>
      <c r="P373" s="224">
        <f t="shared" si="1"/>
        <v>0.3600155179</v>
      </c>
      <c r="Q373" s="214" t="str">
        <f t="shared" si="2"/>
        <v>High</v>
      </c>
    </row>
    <row r="374" ht="15.75" customHeight="1">
      <c r="A374" s="214" t="s">
        <v>822</v>
      </c>
      <c r="B374" s="216">
        <v>8524.0</v>
      </c>
      <c r="C374" s="216">
        <v>154.0</v>
      </c>
      <c r="D374" s="217">
        <v>14.0</v>
      </c>
      <c r="E374" s="219" t="s">
        <v>216</v>
      </c>
      <c r="F374" s="219" t="s">
        <v>344</v>
      </c>
      <c r="G374" s="214" t="s">
        <v>405</v>
      </c>
      <c r="H374" s="221">
        <v>45459.0</v>
      </c>
      <c r="I374" s="219" t="s">
        <v>823</v>
      </c>
      <c r="J374" s="219" t="s">
        <v>159</v>
      </c>
      <c r="K374" s="219" t="s">
        <v>409</v>
      </c>
      <c r="L374" s="214" t="s">
        <v>481</v>
      </c>
      <c r="M374" s="222">
        <v>2024.0</v>
      </c>
      <c r="N374" s="214" t="s">
        <v>396</v>
      </c>
      <c r="O374" s="223">
        <v>2.0</v>
      </c>
      <c r="P374" s="224">
        <f t="shared" si="1"/>
        <v>0.01806663538</v>
      </c>
      <c r="Q374" s="214" t="str">
        <f t="shared" si="2"/>
        <v>High</v>
      </c>
    </row>
    <row r="375" ht="15.75" customHeight="1">
      <c r="A375" s="214" t="s">
        <v>822</v>
      </c>
      <c r="B375" s="216">
        <v>6187.0</v>
      </c>
      <c r="C375" s="216">
        <v>2344.0</v>
      </c>
      <c r="D375" s="217">
        <v>15.0</v>
      </c>
      <c r="E375" s="219" t="s">
        <v>216</v>
      </c>
      <c r="F375" s="219" t="s">
        <v>361</v>
      </c>
      <c r="G375" s="214" t="s">
        <v>406</v>
      </c>
      <c r="H375" s="221">
        <v>45459.0</v>
      </c>
      <c r="I375" s="219" t="s">
        <v>823</v>
      </c>
      <c r="J375" s="219" t="s">
        <v>159</v>
      </c>
      <c r="K375" s="219" t="s">
        <v>409</v>
      </c>
      <c r="L375" s="214" t="s">
        <v>481</v>
      </c>
      <c r="M375" s="222">
        <v>2024.0</v>
      </c>
      <c r="N375" s="214" t="s">
        <v>396</v>
      </c>
      <c r="O375" s="223">
        <v>2.0</v>
      </c>
      <c r="P375" s="224">
        <f t="shared" si="1"/>
        <v>0.3788588977</v>
      </c>
      <c r="Q375" s="214" t="str">
        <f t="shared" si="2"/>
        <v>High</v>
      </c>
    </row>
    <row r="376" ht="15.75" customHeight="1">
      <c r="A376" s="214" t="s">
        <v>824</v>
      </c>
      <c r="B376" s="216">
        <v>4364.0</v>
      </c>
      <c r="C376" s="216">
        <v>148.0</v>
      </c>
      <c r="D376" s="217">
        <v>18.0</v>
      </c>
      <c r="E376" s="219" t="s">
        <v>216</v>
      </c>
      <c r="F376" s="219" t="s">
        <v>344</v>
      </c>
      <c r="G376" s="214" t="s">
        <v>406</v>
      </c>
      <c r="H376" s="221">
        <v>44757.0</v>
      </c>
      <c r="I376" s="219" t="s">
        <v>825</v>
      </c>
      <c r="J376" s="219" t="s">
        <v>313</v>
      </c>
      <c r="K376" s="219" t="s">
        <v>518</v>
      </c>
      <c r="L376" s="214" t="s">
        <v>460</v>
      </c>
      <c r="M376" s="222">
        <v>2022.0</v>
      </c>
      <c r="N376" s="214" t="s">
        <v>404</v>
      </c>
      <c r="O376" s="223">
        <v>3.0</v>
      </c>
      <c r="P376" s="224">
        <f t="shared" si="1"/>
        <v>0.03391384051</v>
      </c>
      <c r="Q376" s="214" t="str">
        <f t="shared" si="2"/>
        <v>Medium</v>
      </c>
    </row>
    <row r="377" ht="15.75" customHeight="1">
      <c r="A377" s="214" t="s">
        <v>824</v>
      </c>
      <c r="B377" s="216">
        <v>736.0</v>
      </c>
      <c r="C377" s="216">
        <v>286.0</v>
      </c>
      <c r="D377" s="217">
        <v>12.0</v>
      </c>
      <c r="E377" s="219" t="s">
        <v>242</v>
      </c>
      <c r="F377" s="219" t="s">
        <v>356</v>
      </c>
      <c r="G377" s="214" t="s">
        <v>406</v>
      </c>
      <c r="H377" s="221">
        <v>44757.0</v>
      </c>
      <c r="I377" s="219" t="s">
        <v>825</v>
      </c>
      <c r="J377" s="219" t="s">
        <v>313</v>
      </c>
      <c r="K377" s="219" t="s">
        <v>518</v>
      </c>
      <c r="L377" s="214" t="s">
        <v>460</v>
      </c>
      <c r="M377" s="222">
        <v>2022.0</v>
      </c>
      <c r="N377" s="214" t="s">
        <v>404</v>
      </c>
      <c r="O377" s="223">
        <v>3.0</v>
      </c>
      <c r="P377" s="224">
        <f t="shared" si="1"/>
        <v>0.3885869565</v>
      </c>
      <c r="Q377" s="214" t="str">
        <f t="shared" si="2"/>
        <v>Medium</v>
      </c>
    </row>
    <row r="378" ht="15.75" customHeight="1">
      <c r="A378" s="214" t="s">
        <v>826</v>
      </c>
      <c r="B378" s="216">
        <v>9905.0</v>
      </c>
      <c r="C378" s="216">
        <v>633.0</v>
      </c>
      <c r="D378" s="217">
        <v>17.0</v>
      </c>
      <c r="E378" s="219" t="s">
        <v>242</v>
      </c>
      <c r="F378" s="219" t="s">
        <v>356</v>
      </c>
      <c r="G378" s="214" t="s">
        <v>406</v>
      </c>
      <c r="H378" s="221">
        <v>44395.0</v>
      </c>
      <c r="I378" s="219" t="s">
        <v>827</v>
      </c>
      <c r="J378" s="219" t="s">
        <v>241</v>
      </c>
      <c r="K378" s="219" t="s">
        <v>493</v>
      </c>
      <c r="L378" s="214" t="s">
        <v>403</v>
      </c>
      <c r="M378" s="222">
        <v>2021.0</v>
      </c>
      <c r="N378" s="214" t="s">
        <v>404</v>
      </c>
      <c r="O378" s="223">
        <v>3.0</v>
      </c>
      <c r="P378" s="224">
        <f t="shared" si="1"/>
        <v>0.06390711762</v>
      </c>
      <c r="Q378" s="214" t="str">
        <f t="shared" si="2"/>
        <v>High</v>
      </c>
    </row>
    <row r="379" ht="15.75" customHeight="1">
      <c r="A379" s="214" t="s">
        <v>826</v>
      </c>
      <c r="B379" s="216">
        <v>9905.0</v>
      </c>
      <c r="C379" s="216">
        <v>633.0</v>
      </c>
      <c r="D379" s="217">
        <v>17.0</v>
      </c>
      <c r="E379" s="219" t="s">
        <v>242</v>
      </c>
      <c r="F379" s="219" t="s">
        <v>356</v>
      </c>
      <c r="G379" s="214" t="s">
        <v>406</v>
      </c>
      <c r="H379" s="221">
        <v>44471.0</v>
      </c>
      <c r="I379" s="219" t="s">
        <v>828</v>
      </c>
      <c r="J379" s="219" t="s">
        <v>159</v>
      </c>
      <c r="K379" s="219" t="s">
        <v>552</v>
      </c>
      <c r="L379" s="214" t="s">
        <v>413</v>
      </c>
      <c r="M379" s="222">
        <v>2021.0</v>
      </c>
      <c r="N379" s="214" t="s">
        <v>414</v>
      </c>
      <c r="O379" s="223">
        <v>4.0</v>
      </c>
      <c r="P379" s="224">
        <f t="shared" si="1"/>
        <v>0.06390711762</v>
      </c>
      <c r="Q379" s="214" t="str">
        <f t="shared" si="2"/>
        <v>High</v>
      </c>
    </row>
    <row r="380" ht="15.75" customHeight="1">
      <c r="A380" s="214" t="s">
        <v>829</v>
      </c>
      <c r="B380" s="216">
        <v>2493.0</v>
      </c>
      <c r="C380" s="216">
        <v>1221.0</v>
      </c>
      <c r="D380" s="217">
        <v>9.0</v>
      </c>
      <c r="E380" s="219" t="s">
        <v>242</v>
      </c>
      <c r="F380" s="219" t="s">
        <v>357</v>
      </c>
      <c r="G380" s="214" t="s">
        <v>350</v>
      </c>
      <c r="H380" s="221">
        <v>45398.0</v>
      </c>
      <c r="I380" s="219" t="s">
        <v>830</v>
      </c>
      <c r="J380" s="219" t="s">
        <v>271</v>
      </c>
      <c r="K380" s="219" t="s">
        <v>449</v>
      </c>
      <c r="L380" s="214" t="s">
        <v>480</v>
      </c>
      <c r="M380" s="222">
        <v>2024.0</v>
      </c>
      <c r="N380" s="214" t="s">
        <v>542</v>
      </c>
      <c r="O380" s="223">
        <v>2.0</v>
      </c>
      <c r="P380" s="224">
        <f t="shared" si="1"/>
        <v>0.4897713598</v>
      </c>
      <c r="Q380" s="214" t="str">
        <f t="shared" si="2"/>
        <v>Medium</v>
      </c>
    </row>
    <row r="381" ht="15.75" customHeight="1">
      <c r="A381" s="214" t="s">
        <v>829</v>
      </c>
      <c r="B381" s="216">
        <v>9849.0</v>
      </c>
      <c r="C381" s="216">
        <v>963.0</v>
      </c>
      <c r="D381" s="217">
        <v>1.0</v>
      </c>
      <c r="E381" s="219" t="s">
        <v>242</v>
      </c>
      <c r="F381" s="219" t="s">
        <v>356</v>
      </c>
      <c r="G381" s="214" t="s">
        <v>350</v>
      </c>
      <c r="H381" s="221">
        <v>45398.0</v>
      </c>
      <c r="I381" s="219" t="s">
        <v>830</v>
      </c>
      <c r="J381" s="219" t="s">
        <v>271</v>
      </c>
      <c r="K381" s="219" t="s">
        <v>449</v>
      </c>
      <c r="L381" s="214" t="s">
        <v>480</v>
      </c>
      <c r="M381" s="222">
        <v>2024.0</v>
      </c>
      <c r="N381" s="214" t="s">
        <v>542</v>
      </c>
      <c r="O381" s="223">
        <v>2.0</v>
      </c>
      <c r="P381" s="224">
        <f t="shared" si="1"/>
        <v>0.097776424</v>
      </c>
      <c r="Q381" s="214" t="str">
        <f t="shared" si="2"/>
        <v>High</v>
      </c>
    </row>
    <row r="382" ht="15.75" customHeight="1">
      <c r="A382" s="214" t="s">
        <v>831</v>
      </c>
      <c r="B382" s="216">
        <v>3423.0</v>
      </c>
      <c r="C382" s="216">
        <v>804.0</v>
      </c>
      <c r="D382" s="217">
        <v>4.0</v>
      </c>
      <c r="E382" s="219" t="s">
        <v>157</v>
      </c>
      <c r="F382" s="219" t="s">
        <v>354</v>
      </c>
      <c r="G382" s="214" t="s">
        <v>350</v>
      </c>
      <c r="H382" s="221">
        <v>44021.0</v>
      </c>
      <c r="I382" s="219" t="s">
        <v>832</v>
      </c>
      <c r="J382" s="219" t="s">
        <v>271</v>
      </c>
      <c r="K382" s="219" t="s">
        <v>568</v>
      </c>
      <c r="L382" s="214" t="s">
        <v>422</v>
      </c>
      <c r="M382" s="222">
        <v>2020.0</v>
      </c>
      <c r="N382" s="214" t="s">
        <v>404</v>
      </c>
      <c r="O382" s="223">
        <v>3.0</v>
      </c>
      <c r="P382" s="224">
        <f t="shared" si="1"/>
        <v>0.2348816827</v>
      </c>
      <c r="Q382" s="214" t="str">
        <f t="shared" si="2"/>
        <v>Medium</v>
      </c>
    </row>
    <row r="383" ht="15.75" customHeight="1">
      <c r="A383" s="214" t="s">
        <v>831</v>
      </c>
      <c r="B383" s="216">
        <v>3423.0</v>
      </c>
      <c r="C383" s="216">
        <v>804.0</v>
      </c>
      <c r="D383" s="217">
        <v>4.0</v>
      </c>
      <c r="E383" s="219" t="s">
        <v>157</v>
      </c>
      <c r="F383" s="219" t="s">
        <v>354</v>
      </c>
      <c r="G383" s="214" t="s">
        <v>350</v>
      </c>
      <c r="H383" s="221">
        <v>44037.0</v>
      </c>
      <c r="I383" s="219" t="s">
        <v>833</v>
      </c>
      <c r="J383" s="219" t="s">
        <v>241</v>
      </c>
      <c r="K383" s="219" t="s">
        <v>493</v>
      </c>
      <c r="L383" s="214" t="s">
        <v>422</v>
      </c>
      <c r="M383" s="222">
        <v>2020.0</v>
      </c>
      <c r="N383" s="214" t="s">
        <v>404</v>
      </c>
      <c r="O383" s="223">
        <v>3.0</v>
      </c>
      <c r="P383" s="224">
        <f t="shared" si="1"/>
        <v>0.2348816827</v>
      </c>
      <c r="Q383" s="214" t="str">
        <f t="shared" si="2"/>
        <v>Medium</v>
      </c>
    </row>
    <row r="384" ht="15.75" customHeight="1">
      <c r="A384" s="214" t="s">
        <v>831</v>
      </c>
      <c r="B384" s="216">
        <v>3423.0</v>
      </c>
      <c r="C384" s="216">
        <v>804.0</v>
      </c>
      <c r="D384" s="217">
        <v>4.0</v>
      </c>
      <c r="E384" s="219" t="s">
        <v>157</v>
      </c>
      <c r="F384" s="219" t="s">
        <v>354</v>
      </c>
      <c r="G384" s="214" t="s">
        <v>350</v>
      </c>
      <c r="H384" s="221">
        <v>45315.0</v>
      </c>
      <c r="I384" s="219" t="s">
        <v>834</v>
      </c>
      <c r="J384" s="219" t="s">
        <v>241</v>
      </c>
      <c r="K384" s="219" t="s">
        <v>504</v>
      </c>
      <c r="L384" s="214" t="s">
        <v>477</v>
      </c>
      <c r="M384" s="222">
        <v>2024.0</v>
      </c>
      <c r="N384" s="214" t="s">
        <v>497</v>
      </c>
      <c r="O384" s="223">
        <v>1.0</v>
      </c>
      <c r="P384" s="224">
        <f t="shared" si="1"/>
        <v>0.2348816827</v>
      </c>
      <c r="Q384" s="214" t="str">
        <f t="shared" si="2"/>
        <v>Medium</v>
      </c>
    </row>
    <row r="385" ht="15.75" customHeight="1">
      <c r="A385" s="214" t="s">
        <v>831</v>
      </c>
      <c r="B385" s="216">
        <v>3423.0</v>
      </c>
      <c r="C385" s="216">
        <v>804.0</v>
      </c>
      <c r="D385" s="217">
        <v>4.0</v>
      </c>
      <c r="E385" s="219" t="s">
        <v>157</v>
      </c>
      <c r="F385" s="219" t="s">
        <v>354</v>
      </c>
      <c r="G385" s="214" t="s">
        <v>350</v>
      </c>
      <c r="H385" s="221">
        <v>43955.0</v>
      </c>
      <c r="I385" s="219" t="s">
        <v>835</v>
      </c>
      <c r="J385" s="219" t="s">
        <v>241</v>
      </c>
      <c r="K385" s="219" t="s">
        <v>493</v>
      </c>
      <c r="L385" s="214" t="s">
        <v>419</v>
      </c>
      <c r="M385" s="222">
        <v>2020.0</v>
      </c>
      <c r="N385" s="214" t="s">
        <v>411</v>
      </c>
      <c r="O385" s="223">
        <v>2.0</v>
      </c>
      <c r="P385" s="224">
        <f t="shared" si="1"/>
        <v>0.2348816827</v>
      </c>
      <c r="Q385" s="214" t="str">
        <f t="shared" si="2"/>
        <v>Medium</v>
      </c>
    </row>
    <row r="386" ht="15.75" customHeight="1">
      <c r="A386" s="214" t="s">
        <v>831</v>
      </c>
      <c r="B386" s="216">
        <v>3423.0</v>
      </c>
      <c r="C386" s="216">
        <v>804.0</v>
      </c>
      <c r="D386" s="217">
        <v>4.0</v>
      </c>
      <c r="E386" s="219" t="s">
        <v>157</v>
      </c>
      <c r="F386" s="219" t="s">
        <v>354</v>
      </c>
      <c r="G386" s="214" t="s">
        <v>350</v>
      </c>
      <c r="H386" s="221">
        <v>44513.0</v>
      </c>
      <c r="I386" s="219" t="s">
        <v>836</v>
      </c>
      <c r="J386" s="219" t="s">
        <v>313</v>
      </c>
      <c r="K386" s="219" t="s">
        <v>518</v>
      </c>
      <c r="L386" s="214" t="s">
        <v>451</v>
      </c>
      <c r="M386" s="222">
        <v>2021.0</v>
      </c>
      <c r="N386" s="214" t="s">
        <v>425</v>
      </c>
      <c r="O386" s="223">
        <v>4.0</v>
      </c>
      <c r="P386" s="224">
        <f t="shared" si="1"/>
        <v>0.2348816827</v>
      </c>
      <c r="Q386" s="214" t="str">
        <f t="shared" si="2"/>
        <v>Medium</v>
      </c>
    </row>
    <row r="387" ht="15.75" customHeight="1">
      <c r="A387" s="214" t="s">
        <v>837</v>
      </c>
      <c r="B387" s="216">
        <v>3900.0</v>
      </c>
      <c r="C387" s="216">
        <v>115.0</v>
      </c>
      <c r="D387" s="217">
        <v>9.0</v>
      </c>
      <c r="E387" s="219" t="s">
        <v>216</v>
      </c>
      <c r="F387" s="219" t="s">
        <v>359</v>
      </c>
      <c r="G387" s="214" t="s">
        <v>405</v>
      </c>
      <c r="H387" s="221">
        <v>45206.0</v>
      </c>
      <c r="I387" s="219" t="s">
        <v>838</v>
      </c>
      <c r="J387" s="219" t="s">
        <v>271</v>
      </c>
      <c r="K387" s="219" t="s">
        <v>449</v>
      </c>
      <c r="L387" s="214" t="s">
        <v>475</v>
      </c>
      <c r="M387" s="222">
        <v>2023.0</v>
      </c>
      <c r="N387" s="214" t="s">
        <v>414</v>
      </c>
      <c r="O387" s="223">
        <v>4.0</v>
      </c>
      <c r="P387" s="224">
        <f t="shared" si="1"/>
        <v>0.02948717949</v>
      </c>
      <c r="Q387" s="214" t="str">
        <f t="shared" si="2"/>
        <v>Medium</v>
      </c>
    </row>
    <row r="388" ht="15.75" customHeight="1">
      <c r="A388" s="214" t="s">
        <v>839</v>
      </c>
      <c r="B388" s="216">
        <v>8568.0</v>
      </c>
      <c r="C388" s="216">
        <v>2419.0</v>
      </c>
      <c r="D388" s="217">
        <v>11.0</v>
      </c>
      <c r="E388" s="219" t="s">
        <v>157</v>
      </c>
      <c r="F388" s="219" t="s">
        <v>355</v>
      </c>
      <c r="G388" s="214" t="s">
        <v>392</v>
      </c>
      <c r="H388" s="221">
        <v>44492.0</v>
      </c>
      <c r="I388" s="219" t="s">
        <v>840</v>
      </c>
      <c r="J388" s="219" t="s">
        <v>223</v>
      </c>
      <c r="K388" s="219" t="s">
        <v>473</v>
      </c>
      <c r="L388" s="214" t="s">
        <v>413</v>
      </c>
      <c r="M388" s="222">
        <v>2021.0</v>
      </c>
      <c r="N388" s="214" t="s">
        <v>414</v>
      </c>
      <c r="O388" s="223">
        <v>4.0</v>
      </c>
      <c r="P388" s="224">
        <f t="shared" si="1"/>
        <v>0.2823295985</v>
      </c>
      <c r="Q388" s="214" t="str">
        <f t="shared" si="2"/>
        <v>High</v>
      </c>
    </row>
    <row r="389" ht="15.75" customHeight="1">
      <c r="A389" s="214" t="s">
        <v>839</v>
      </c>
      <c r="B389" s="216">
        <v>3283.0</v>
      </c>
      <c r="C389" s="216">
        <v>71.0</v>
      </c>
      <c r="D389" s="217">
        <v>6.0</v>
      </c>
      <c r="E389" s="219" t="s">
        <v>242</v>
      </c>
      <c r="F389" s="219" t="s">
        <v>356</v>
      </c>
      <c r="G389" s="214" t="s">
        <v>406</v>
      </c>
      <c r="H389" s="221">
        <v>44492.0</v>
      </c>
      <c r="I389" s="219" t="s">
        <v>840</v>
      </c>
      <c r="J389" s="219" t="s">
        <v>223</v>
      </c>
      <c r="K389" s="219" t="s">
        <v>473</v>
      </c>
      <c r="L389" s="214" t="s">
        <v>413</v>
      </c>
      <c r="M389" s="222">
        <v>2021.0</v>
      </c>
      <c r="N389" s="214" t="s">
        <v>414</v>
      </c>
      <c r="O389" s="223">
        <v>4.0</v>
      </c>
      <c r="P389" s="224">
        <f t="shared" si="1"/>
        <v>0.02162656107</v>
      </c>
      <c r="Q389" s="214" t="str">
        <f t="shared" si="2"/>
        <v>Medium</v>
      </c>
    </row>
    <row r="390" ht="15.75" customHeight="1">
      <c r="A390" s="214" t="s">
        <v>841</v>
      </c>
      <c r="B390" s="216">
        <v>7643.0</v>
      </c>
      <c r="C390" s="216">
        <v>3720.0</v>
      </c>
      <c r="D390" s="217">
        <v>19.0</v>
      </c>
      <c r="E390" s="219" t="s">
        <v>157</v>
      </c>
      <c r="F390" s="219" t="s">
        <v>355</v>
      </c>
      <c r="G390" s="214" t="s">
        <v>406</v>
      </c>
      <c r="H390" s="221">
        <v>44760.0</v>
      </c>
      <c r="I390" s="219" t="s">
        <v>842</v>
      </c>
      <c r="J390" s="219" t="s">
        <v>241</v>
      </c>
      <c r="K390" s="219" t="s">
        <v>493</v>
      </c>
      <c r="L390" s="214" t="s">
        <v>460</v>
      </c>
      <c r="M390" s="222">
        <v>2022.0</v>
      </c>
      <c r="N390" s="214" t="s">
        <v>404</v>
      </c>
      <c r="O390" s="223">
        <v>3.0</v>
      </c>
      <c r="P390" s="224">
        <f t="shared" si="1"/>
        <v>0.4867198744</v>
      </c>
      <c r="Q390" s="214" t="str">
        <f t="shared" si="2"/>
        <v>High</v>
      </c>
    </row>
    <row r="391" ht="15.75" customHeight="1">
      <c r="A391" s="214" t="s">
        <v>843</v>
      </c>
      <c r="B391" s="216">
        <v>3461.0</v>
      </c>
      <c r="C391" s="216">
        <v>1537.0</v>
      </c>
      <c r="D391" s="217">
        <v>15.0</v>
      </c>
      <c r="E391" s="219" t="s">
        <v>216</v>
      </c>
      <c r="F391" s="219" t="s">
        <v>347</v>
      </c>
      <c r="G391" s="214" t="s">
        <v>406</v>
      </c>
      <c r="H391" s="221">
        <v>45527.0</v>
      </c>
      <c r="I391" s="219" t="s">
        <v>844</v>
      </c>
      <c r="J391" s="219" t="s">
        <v>271</v>
      </c>
      <c r="K391" s="219" t="s">
        <v>398</v>
      </c>
      <c r="L391" s="214" t="s">
        <v>483</v>
      </c>
      <c r="M391" s="222">
        <v>2024.0</v>
      </c>
      <c r="N391" s="214" t="s">
        <v>523</v>
      </c>
      <c r="O391" s="223">
        <v>3.0</v>
      </c>
      <c r="P391" s="224">
        <f t="shared" si="1"/>
        <v>0.4440913031</v>
      </c>
      <c r="Q391" s="214" t="str">
        <f t="shared" si="2"/>
        <v>Medium</v>
      </c>
    </row>
    <row r="392" ht="15.75" customHeight="1">
      <c r="A392" s="214" t="s">
        <v>843</v>
      </c>
      <c r="B392" s="216">
        <v>5714.0</v>
      </c>
      <c r="C392" s="216">
        <v>1438.0</v>
      </c>
      <c r="D392" s="217">
        <v>6.0</v>
      </c>
      <c r="E392" s="219" t="s">
        <v>157</v>
      </c>
      <c r="F392" s="219" t="s">
        <v>355</v>
      </c>
      <c r="G392" s="214" t="s">
        <v>350</v>
      </c>
      <c r="H392" s="221">
        <v>45527.0</v>
      </c>
      <c r="I392" s="219" t="s">
        <v>844</v>
      </c>
      <c r="J392" s="219" t="s">
        <v>271</v>
      </c>
      <c r="K392" s="219" t="s">
        <v>398</v>
      </c>
      <c r="L392" s="214" t="s">
        <v>483</v>
      </c>
      <c r="M392" s="222">
        <v>2024.0</v>
      </c>
      <c r="N392" s="214" t="s">
        <v>523</v>
      </c>
      <c r="O392" s="223">
        <v>3.0</v>
      </c>
      <c r="P392" s="224">
        <f t="shared" si="1"/>
        <v>0.2516625831</v>
      </c>
      <c r="Q392" s="214" t="str">
        <f t="shared" si="2"/>
        <v>High</v>
      </c>
    </row>
    <row r="393" ht="15.75" customHeight="1">
      <c r="A393" s="214" t="s">
        <v>843</v>
      </c>
      <c r="B393" s="216">
        <v>3853.0</v>
      </c>
      <c r="C393" s="216">
        <v>1457.0</v>
      </c>
      <c r="D393" s="217">
        <v>10.0</v>
      </c>
      <c r="E393" s="219" t="s">
        <v>242</v>
      </c>
      <c r="F393" s="219" t="s">
        <v>362</v>
      </c>
      <c r="G393" s="214" t="s">
        <v>405</v>
      </c>
      <c r="H393" s="221">
        <v>45527.0</v>
      </c>
      <c r="I393" s="219" t="s">
        <v>844</v>
      </c>
      <c r="J393" s="219" t="s">
        <v>271</v>
      </c>
      <c r="K393" s="219" t="s">
        <v>398</v>
      </c>
      <c r="L393" s="214" t="s">
        <v>483</v>
      </c>
      <c r="M393" s="222">
        <v>2024.0</v>
      </c>
      <c r="N393" s="214" t="s">
        <v>523</v>
      </c>
      <c r="O393" s="223">
        <v>3.0</v>
      </c>
      <c r="P393" s="224">
        <f t="shared" si="1"/>
        <v>0.3781468985</v>
      </c>
      <c r="Q393" s="214" t="str">
        <f t="shared" si="2"/>
        <v>Medium</v>
      </c>
    </row>
    <row r="394" ht="15.75" customHeight="1">
      <c r="A394" s="214" t="s">
        <v>845</v>
      </c>
      <c r="B394" s="216">
        <v>6016.0</v>
      </c>
      <c r="C394" s="216">
        <v>431.0</v>
      </c>
      <c r="D394" s="217">
        <v>20.0</v>
      </c>
      <c r="E394" s="219" t="s">
        <v>242</v>
      </c>
      <c r="F394" s="219" t="s">
        <v>356</v>
      </c>
      <c r="G394" s="214" t="s">
        <v>392</v>
      </c>
      <c r="H394" s="221">
        <v>44132.0</v>
      </c>
      <c r="I394" s="219" t="s">
        <v>846</v>
      </c>
      <c r="J394" s="219" t="s">
        <v>271</v>
      </c>
      <c r="K394" s="219" t="s">
        <v>398</v>
      </c>
      <c r="L394" s="214" t="s">
        <v>435</v>
      </c>
      <c r="M394" s="222">
        <v>2020.0</v>
      </c>
      <c r="N394" s="214" t="s">
        <v>414</v>
      </c>
      <c r="O394" s="223">
        <v>4.0</v>
      </c>
      <c r="P394" s="224">
        <f t="shared" si="1"/>
        <v>0.07164228723</v>
      </c>
      <c r="Q394" s="214" t="str">
        <f t="shared" si="2"/>
        <v>High</v>
      </c>
    </row>
    <row r="395" ht="15.75" customHeight="1">
      <c r="A395" s="214" t="s">
        <v>847</v>
      </c>
      <c r="B395" s="216">
        <v>1290.0</v>
      </c>
      <c r="C395" s="216">
        <v>204.0</v>
      </c>
      <c r="D395" s="217">
        <v>12.0</v>
      </c>
      <c r="E395" s="219" t="s">
        <v>242</v>
      </c>
      <c r="F395" s="219" t="s">
        <v>317</v>
      </c>
      <c r="G395" s="214" t="s">
        <v>392</v>
      </c>
      <c r="H395" s="221">
        <v>45458.0</v>
      </c>
      <c r="I395" s="219" t="s">
        <v>848</v>
      </c>
      <c r="J395" s="219" t="s">
        <v>223</v>
      </c>
      <c r="K395" s="219" t="s">
        <v>402</v>
      </c>
      <c r="L395" s="214" t="s">
        <v>481</v>
      </c>
      <c r="M395" s="222">
        <v>2024.0</v>
      </c>
      <c r="N395" s="214" t="s">
        <v>396</v>
      </c>
      <c r="O395" s="223">
        <v>2.0</v>
      </c>
      <c r="P395" s="224">
        <f t="shared" si="1"/>
        <v>0.1581395349</v>
      </c>
      <c r="Q395" s="214" t="str">
        <f t="shared" si="2"/>
        <v>Medium</v>
      </c>
    </row>
    <row r="396" ht="15.75" customHeight="1">
      <c r="A396" s="214" t="s">
        <v>847</v>
      </c>
      <c r="B396" s="216">
        <v>1290.0</v>
      </c>
      <c r="C396" s="216">
        <v>204.0</v>
      </c>
      <c r="D396" s="217">
        <v>12.0</v>
      </c>
      <c r="E396" s="219" t="s">
        <v>242</v>
      </c>
      <c r="F396" s="219" t="s">
        <v>317</v>
      </c>
      <c r="G396" s="214" t="s">
        <v>392</v>
      </c>
      <c r="H396" s="221">
        <v>45645.0</v>
      </c>
      <c r="I396" s="219" t="s">
        <v>849</v>
      </c>
      <c r="J396" s="219" t="s">
        <v>117</v>
      </c>
      <c r="K396" s="219" t="s">
        <v>508</v>
      </c>
      <c r="L396" s="214" t="s">
        <v>399</v>
      </c>
      <c r="M396" s="222">
        <v>2024.0</v>
      </c>
      <c r="N396" s="214" t="s">
        <v>400</v>
      </c>
      <c r="O396" s="223">
        <v>4.0</v>
      </c>
      <c r="P396" s="224">
        <f t="shared" si="1"/>
        <v>0.1581395349</v>
      </c>
      <c r="Q396" s="214" t="str">
        <f t="shared" si="2"/>
        <v>Medium</v>
      </c>
    </row>
    <row r="397" ht="15.75" customHeight="1">
      <c r="A397" s="214" t="s">
        <v>850</v>
      </c>
      <c r="B397" s="216">
        <v>4569.0</v>
      </c>
      <c r="C397" s="216">
        <v>1693.0</v>
      </c>
      <c r="D397" s="217">
        <v>10.0</v>
      </c>
      <c r="E397" s="219" t="s">
        <v>157</v>
      </c>
      <c r="F397" s="219" t="s">
        <v>354</v>
      </c>
      <c r="G397" s="214" t="s">
        <v>392</v>
      </c>
      <c r="H397" s="221">
        <v>44078.0</v>
      </c>
      <c r="I397" s="219" t="s">
        <v>851</v>
      </c>
      <c r="J397" s="219" t="s">
        <v>271</v>
      </c>
      <c r="K397" s="219" t="s">
        <v>449</v>
      </c>
      <c r="L397" s="214" t="s">
        <v>434</v>
      </c>
      <c r="M397" s="222">
        <v>2020.0</v>
      </c>
      <c r="N397" s="214" t="s">
        <v>536</v>
      </c>
      <c r="O397" s="223">
        <v>3.0</v>
      </c>
      <c r="P397" s="224">
        <f t="shared" si="1"/>
        <v>0.3705405997</v>
      </c>
      <c r="Q397" s="214" t="str">
        <f t="shared" si="2"/>
        <v>Medium</v>
      </c>
    </row>
    <row r="398" ht="15.75" customHeight="1">
      <c r="A398" s="214" t="s">
        <v>852</v>
      </c>
      <c r="B398" s="216">
        <v>3083.0</v>
      </c>
      <c r="C398" s="216">
        <v>1151.0</v>
      </c>
      <c r="D398" s="217">
        <v>16.0</v>
      </c>
      <c r="E398" s="219" t="s">
        <v>216</v>
      </c>
      <c r="F398" s="219" t="s">
        <v>361</v>
      </c>
      <c r="G398" s="214" t="s">
        <v>351</v>
      </c>
      <c r="H398" s="221">
        <v>44667.0</v>
      </c>
      <c r="I398" s="219" t="s">
        <v>853</v>
      </c>
      <c r="J398" s="219" t="s">
        <v>159</v>
      </c>
      <c r="K398" s="219" t="s">
        <v>409</v>
      </c>
      <c r="L398" s="214" t="s">
        <v>456</v>
      </c>
      <c r="M398" s="222">
        <v>2022.0</v>
      </c>
      <c r="N398" s="214" t="s">
        <v>542</v>
      </c>
      <c r="O398" s="223">
        <v>2.0</v>
      </c>
      <c r="P398" s="224">
        <f t="shared" si="1"/>
        <v>0.3733376581</v>
      </c>
      <c r="Q398" s="214" t="str">
        <f t="shared" si="2"/>
        <v>Medium</v>
      </c>
    </row>
    <row r="399" ht="15.75" customHeight="1">
      <c r="A399" s="214" t="s">
        <v>854</v>
      </c>
      <c r="B399" s="216">
        <v>3522.0</v>
      </c>
      <c r="C399" s="216">
        <v>898.0</v>
      </c>
      <c r="D399" s="217">
        <v>15.0</v>
      </c>
      <c r="E399" s="219" t="s">
        <v>242</v>
      </c>
      <c r="F399" s="219" t="s">
        <v>356</v>
      </c>
      <c r="G399" s="214" t="s">
        <v>350</v>
      </c>
      <c r="H399" s="221">
        <v>45533.0</v>
      </c>
      <c r="I399" s="219" t="s">
        <v>855</v>
      </c>
      <c r="J399" s="219" t="s">
        <v>313</v>
      </c>
      <c r="K399" s="219" t="s">
        <v>526</v>
      </c>
      <c r="L399" s="214" t="s">
        <v>483</v>
      </c>
      <c r="M399" s="222">
        <v>2024.0</v>
      </c>
      <c r="N399" s="214" t="s">
        <v>523</v>
      </c>
      <c r="O399" s="223">
        <v>3.0</v>
      </c>
      <c r="P399" s="224">
        <f t="shared" si="1"/>
        <v>0.2549687677</v>
      </c>
      <c r="Q399" s="214" t="str">
        <f t="shared" si="2"/>
        <v>Medium</v>
      </c>
    </row>
    <row r="400" ht="15.75" customHeight="1">
      <c r="A400" s="214" t="s">
        <v>854</v>
      </c>
      <c r="B400" s="216">
        <v>3522.0</v>
      </c>
      <c r="C400" s="216">
        <v>898.0</v>
      </c>
      <c r="D400" s="217">
        <v>15.0</v>
      </c>
      <c r="E400" s="219" t="s">
        <v>242</v>
      </c>
      <c r="F400" s="219" t="s">
        <v>356</v>
      </c>
      <c r="G400" s="214" t="s">
        <v>350</v>
      </c>
      <c r="H400" s="221">
        <v>44575.0</v>
      </c>
      <c r="I400" s="219" t="s">
        <v>856</v>
      </c>
      <c r="J400" s="219" t="s">
        <v>117</v>
      </c>
      <c r="K400" s="219" t="s">
        <v>423</v>
      </c>
      <c r="L400" s="214" t="s">
        <v>453</v>
      </c>
      <c r="M400" s="222">
        <v>2022.0</v>
      </c>
      <c r="N400" s="214" t="s">
        <v>497</v>
      </c>
      <c r="O400" s="223">
        <v>1.0</v>
      </c>
      <c r="P400" s="224">
        <f t="shared" si="1"/>
        <v>0.2549687677</v>
      </c>
      <c r="Q400" s="214" t="str">
        <f t="shared" si="2"/>
        <v>Medium</v>
      </c>
    </row>
    <row r="401" ht="15.75" customHeight="1">
      <c r="A401" s="214" t="s">
        <v>857</v>
      </c>
      <c r="B401" s="216">
        <v>7301.0</v>
      </c>
      <c r="C401" s="216">
        <v>3602.0</v>
      </c>
      <c r="D401" s="217">
        <v>3.0</v>
      </c>
      <c r="E401" s="219" t="s">
        <v>242</v>
      </c>
      <c r="F401" s="219" t="s">
        <v>362</v>
      </c>
      <c r="G401" s="214" t="s">
        <v>351</v>
      </c>
      <c r="H401" s="221">
        <v>45389.0</v>
      </c>
      <c r="I401" s="219" t="s">
        <v>858</v>
      </c>
      <c r="J401" s="219" t="s">
        <v>241</v>
      </c>
      <c r="K401" s="219" t="s">
        <v>541</v>
      </c>
      <c r="L401" s="214" t="s">
        <v>480</v>
      </c>
      <c r="M401" s="222">
        <v>2024.0</v>
      </c>
      <c r="N401" s="214" t="s">
        <v>542</v>
      </c>
      <c r="O401" s="223">
        <v>2.0</v>
      </c>
      <c r="P401" s="224">
        <f t="shared" si="1"/>
        <v>0.4933570744</v>
      </c>
      <c r="Q401" s="214" t="str">
        <f t="shared" si="2"/>
        <v>High</v>
      </c>
    </row>
    <row r="402" ht="15.75" customHeight="1">
      <c r="A402" s="214" t="s">
        <v>859</v>
      </c>
      <c r="B402" s="216">
        <v>4462.0</v>
      </c>
      <c r="C402" s="216">
        <v>121.0</v>
      </c>
      <c r="D402" s="217">
        <v>8.0</v>
      </c>
      <c r="E402" s="219" t="s">
        <v>157</v>
      </c>
      <c r="F402" s="219" t="s">
        <v>360</v>
      </c>
      <c r="G402" s="214" t="s">
        <v>405</v>
      </c>
      <c r="H402" s="221">
        <v>44675.0</v>
      </c>
      <c r="I402" s="219" t="s">
        <v>860</v>
      </c>
      <c r="J402" s="219" t="s">
        <v>271</v>
      </c>
      <c r="K402" s="219" t="s">
        <v>449</v>
      </c>
      <c r="L402" s="214" t="s">
        <v>456</v>
      </c>
      <c r="M402" s="222">
        <v>2022.0</v>
      </c>
      <c r="N402" s="214" t="s">
        <v>542</v>
      </c>
      <c r="O402" s="223">
        <v>2.0</v>
      </c>
      <c r="P402" s="224">
        <f t="shared" si="1"/>
        <v>0.02711788436</v>
      </c>
      <c r="Q402" s="214" t="str">
        <f t="shared" si="2"/>
        <v>Medium</v>
      </c>
    </row>
    <row r="403" ht="15.75" customHeight="1">
      <c r="A403" s="214" t="s">
        <v>859</v>
      </c>
      <c r="B403" s="216">
        <v>6212.0</v>
      </c>
      <c r="C403" s="216">
        <v>1881.0</v>
      </c>
      <c r="D403" s="217">
        <v>17.0</v>
      </c>
      <c r="E403" s="219" t="s">
        <v>157</v>
      </c>
      <c r="F403" s="219" t="s">
        <v>358</v>
      </c>
      <c r="G403" s="214" t="s">
        <v>405</v>
      </c>
      <c r="H403" s="221">
        <v>44675.0</v>
      </c>
      <c r="I403" s="219" t="s">
        <v>860</v>
      </c>
      <c r="J403" s="219" t="s">
        <v>271</v>
      </c>
      <c r="K403" s="219" t="s">
        <v>449</v>
      </c>
      <c r="L403" s="214" t="s">
        <v>456</v>
      </c>
      <c r="M403" s="222">
        <v>2022.0</v>
      </c>
      <c r="N403" s="214" t="s">
        <v>542</v>
      </c>
      <c r="O403" s="223">
        <v>2.0</v>
      </c>
      <c r="P403" s="224">
        <f t="shared" si="1"/>
        <v>0.3028010303</v>
      </c>
      <c r="Q403" s="214" t="str">
        <f t="shared" si="2"/>
        <v>High</v>
      </c>
    </row>
    <row r="404" ht="15.75" customHeight="1">
      <c r="A404" s="214" t="s">
        <v>861</v>
      </c>
      <c r="B404" s="216">
        <v>4027.0</v>
      </c>
      <c r="C404" s="216">
        <v>1386.0</v>
      </c>
      <c r="D404" s="217">
        <v>3.0</v>
      </c>
      <c r="E404" s="219" t="s">
        <v>216</v>
      </c>
      <c r="F404" s="219" t="s">
        <v>361</v>
      </c>
      <c r="G404" s="214" t="s">
        <v>406</v>
      </c>
      <c r="H404" s="221">
        <v>44070.0</v>
      </c>
      <c r="I404" s="219" t="s">
        <v>862</v>
      </c>
      <c r="J404" s="219" t="s">
        <v>159</v>
      </c>
      <c r="K404" s="219" t="s">
        <v>552</v>
      </c>
      <c r="L404" s="214" t="s">
        <v>431</v>
      </c>
      <c r="M404" s="222">
        <v>2020.0</v>
      </c>
      <c r="N404" s="214" t="s">
        <v>523</v>
      </c>
      <c r="O404" s="223">
        <v>3.0</v>
      </c>
      <c r="P404" s="224">
        <f t="shared" si="1"/>
        <v>0.3441768066</v>
      </c>
      <c r="Q404" s="214" t="str">
        <f t="shared" si="2"/>
        <v>Medium</v>
      </c>
    </row>
    <row r="405" ht="15.75" customHeight="1">
      <c r="A405" s="214" t="s">
        <v>863</v>
      </c>
      <c r="B405" s="216">
        <v>1676.0</v>
      </c>
      <c r="C405" s="216">
        <v>330.0</v>
      </c>
      <c r="D405" s="217">
        <v>14.0</v>
      </c>
      <c r="E405" s="219" t="s">
        <v>157</v>
      </c>
      <c r="F405" s="219" t="s">
        <v>360</v>
      </c>
      <c r="G405" s="214" t="s">
        <v>406</v>
      </c>
      <c r="H405" s="221">
        <v>44986.0</v>
      </c>
      <c r="I405" s="219" t="s">
        <v>864</v>
      </c>
      <c r="J405" s="219" t="s">
        <v>313</v>
      </c>
      <c r="K405" s="219" t="s">
        <v>526</v>
      </c>
      <c r="L405" s="214" t="s">
        <v>467</v>
      </c>
      <c r="M405" s="222">
        <v>2023.0</v>
      </c>
      <c r="N405" s="214" t="s">
        <v>433</v>
      </c>
      <c r="O405" s="223">
        <v>1.0</v>
      </c>
      <c r="P405" s="224">
        <f t="shared" si="1"/>
        <v>0.1968973747</v>
      </c>
      <c r="Q405" s="214" t="str">
        <f t="shared" si="2"/>
        <v>Medium</v>
      </c>
    </row>
    <row r="406" ht="15.75" customHeight="1">
      <c r="A406" s="214" t="s">
        <v>863</v>
      </c>
      <c r="B406" s="216">
        <v>3927.0</v>
      </c>
      <c r="C406" s="216">
        <v>1133.0</v>
      </c>
      <c r="D406" s="217">
        <v>12.0</v>
      </c>
      <c r="E406" s="219" t="s">
        <v>216</v>
      </c>
      <c r="F406" s="219" t="s">
        <v>361</v>
      </c>
      <c r="G406" s="214" t="s">
        <v>405</v>
      </c>
      <c r="H406" s="221">
        <v>44986.0</v>
      </c>
      <c r="I406" s="219" t="s">
        <v>864</v>
      </c>
      <c r="J406" s="219" t="s">
        <v>313</v>
      </c>
      <c r="K406" s="219" t="s">
        <v>526</v>
      </c>
      <c r="L406" s="214" t="s">
        <v>467</v>
      </c>
      <c r="M406" s="222">
        <v>2023.0</v>
      </c>
      <c r="N406" s="214" t="s">
        <v>433</v>
      </c>
      <c r="O406" s="223">
        <v>1.0</v>
      </c>
      <c r="P406" s="224">
        <f t="shared" si="1"/>
        <v>0.2885154062</v>
      </c>
      <c r="Q406" s="214" t="str">
        <f t="shared" si="2"/>
        <v>Medium</v>
      </c>
    </row>
    <row r="407" ht="15.75" customHeight="1">
      <c r="A407" s="214" t="s">
        <v>863</v>
      </c>
      <c r="B407" s="216">
        <v>2776.0</v>
      </c>
      <c r="C407" s="216">
        <v>887.0</v>
      </c>
      <c r="D407" s="217">
        <v>9.0</v>
      </c>
      <c r="E407" s="219" t="s">
        <v>157</v>
      </c>
      <c r="F407" s="219" t="s">
        <v>358</v>
      </c>
      <c r="G407" s="214" t="s">
        <v>351</v>
      </c>
      <c r="H407" s="221">
        <v>44986.0</v>
      </c>
      <c r="I407" s="219" t="s">
        <v>864</v>
      </c>
      <c r="J407" s="219" t="s">
        <v>313</v>
      </c>
      <c r="K407" s="219" t="s">
        <v>526</v>
      </c>
      <c r="L407" s="214" t="s">
        <v>467</v>
      </c>
      <c r="M407" s="222">
        <v>2023.0</v>
      </c>
      <c r="N407" s="214" t="s">
        <v>433</v>
      </c>
      <c r="O407" s="223">
        <v>1.0</v>
      </c>
      <c r="P407" s="224">
        <f t="shared" si="1"/>
        <v>0.3195244957</v>
      </c>
      <c r="Q407" s="214" t="str">
        <f t="shared" si="2"/>
        <v>Medium</v>
      </c>
    </row>
    <row r="408" ht="15.75" customHeight="1">
      <c r="A408" s="214" t="s">
        <v>865</v>
      </c>
      <c r="B408" s="216">
        <v>7684.0</v>
      </c>
      <c r="C408" s="216">
        <v>1157.0</v>
      </c>
      <c r="D408" s="217">
        <v>12.0</v>
      </c>
      <c r="E408" s="219" t="s">
        <v>216</v>
      </c>
      <c r="F408" s="219" t="s">
        <v>347</v>
      </c>
      <c r="G408" s="214" t="s">
        <v>405</v>
      </c>
      <c r="H408" s="221">
        <v>44106.0</v>
      </c>
      <c r="I408" s="219" t="s">
        <v>866</v>
      </c>
      <c r="J408" s="219" t="s">
        <v>271</v>
      </c>
      <c r="K408" s="219" t="s">
        <v>398</v>
      </c>
      <c r="L408" s="214" t="s">
        <v>435</v>
      </c>
      <c r="M408" s="222">
        <v>2020.0</v>
      </c>
      <c r="N408" s="214" t="s">
        <v>414</v>
      </c>
      <c r="O408" s="223">
        <v>4.0</v>
      </c>
      <c r="P408" s="224">
        <f t="shared" si="1"/>
        <v>0.1505726184</v>
      </c>
      <c r="Q408" s="214" t="str">
        <f t="shared" si="2"/>
        <v>High</v>
      </c>
    </row>
    <row r="409" ht="15.75" customHeight="1">
      <c r="A409" s="214" t="s">
        <v>865</v>
      </c>
      <c r="B409" s="216">
        <v>7684.0</v>
      </c>
      <c r="C409" s="216">
        <v>1157.0</v>
      </c>
      <c r="D409" s="217">
        <v>12.0</v>
      </c>
      <c r="E409" s="219" t="s">
        <v>216</v>
      </c>
      <c r="F409" s="219" t="s">
        <v>347</v>
      </c>
      <c r="G409" s="214" t="s">
        <v>405</v>
      </c>
      <c r="H409" s="221">
        <v>44005.0</v>
      </c>
      <c r="I409" s="219" t="s">
        <v>867</v>
      </c>
      <c r="J409" s="219" t="s">
        <v>223</v>
      </c>
      <c r="K409" s="219" t="s">
        <v>402</v>
      </c>
      <c r="L409" s="214" t="s">
        <v>421</v>
      </c>
      <c r="M409" s="222">
        <v>2020.0</v>
      </c>
      <c r="N409" s="214" t="s">
        <v>396</v>
      </c>
      <c r="O409" s="223">
        <v>2.0</v>
      </c>
      <c r="P409" s="224">
        <f t="shared" si="1"/>
        <v>0.1505726184</v>
      </c>
      <c r="Q409" s="214" t="str">
        <f t="shared" si="2"/>
        <v>High</v>
      </c>
    </row>
    <row r="410" ht="15.75" customHeight="1">
      <c r="A410" s="214" t="s">
        <v>865</v>
      </c>
      <c r="B410" s="216">
        <v>7684.0</v>
      </c>
      <c r="C410" s="216">
        <v>1157.0</v>
      </c>
      <c r="D410" s="217">
        <v>12.0</v>
      </c>
      <c r="E410" s="219" t="s">
        <v>216</v>
      </c>
      <c r="F410" s="219" t="s">
        <v>347</v>
      </c>
      <c r="G410" s="214" t="s">
        <v>405</v>
      </c>
      <c r="H410" s="221">
        <v>45159.0</v>
      </c>
      <c r="I410" s="219" t="s">
        <v>868</v>
      </c>
      <c r="J410" s="219" t="s">
        <v>313</v>
      </c>
      <c r="K410" s="219" t="s">
        <v>512</v>
      </c>
      <c r="L410" s="214" t="s">
        <v>472</v>
      </c>
      <c r="M410" s="222">
        <v>2023.0</v>
      </c>
      <c r="N410" s="214" t="s">
        <v>523</v>
      </c>
      <c r="O410" s="223">
        <v>3.0</v>
      </c>
      <c r="P410" s="224">
        <f t="shared" si="1"/>
        <v>0.1505726184</v>
      </c>
      <c r="Q410" s="214" t="str">
        <f t="shared" si="2"/>
        <v>High</v>
      </c>
    </row>
    <row r="411" ht="15.75" customHeight="1">
      <c r="A411" s="214" t="s">
        <v>869</v>
      </c>
      <c r="B411" s="216">
        <v>6008.0</v>
      </c>
      <c r="C411" s="216">
        <v>2498.0</v>
      </c>
      <c r="D411" s="217">
        <v>17.0</v>
      </c>
      <c r="E411" s="219" t="s">
        <v>157</v>
      </c>
      <c r="F411" s="219" t="s">
        <v>358</v>
      </c>
      <c r="G411" s="214" t="s">
        <v>350</v>
      </c>
      <c r="H411" s="221">
        <v>44758.0</v>
      </c>
      <c r="I411" s="219" t="s">
        <v>870</v>
      </c>
      <c r="J411" s="219" t="s">
        <v>159</v>
      </c>
      <c r="K411" s="219" t="s">
        <v>394</v>
      </c>
      <c r="L411" s="214" t="s">
        <v>460</v>
      </c>
      <c r="M411" s="222">
        <v>2022.0</v>
      </c>
      <c r="N411" s="214" t="s">
        <v>404</v>
      </c>
      <c r="O411" s="223">
        <v>3.0</v>
      </c>
      <c r="P411" s="224">
        <f t="shared" si="1"/>
        <v>0.4157789614</v>
      </c>
      <c r="Q411" s="214" t="str">
        <f t="shared" si="2"/>
        <v>High</v>
      </c>
    </row>
    <row r="412" ht="15.75" customHeight="1">
      <c r="A412" s="214" t="s">
        <v>871</v>
      </c>
      <c r="B412" s="216">
        <v>7344.0</v>
      </c>
      <c r="C412" s="216">
        <v>2598.0</v>
      </c>
      <c r="D412" s="217">
        <v>20.0</v>
      </c>
      <c r="E412" s="219" t="s">
        <v>216</v>
      </c>
      <c r="F412" s="219" t="s">
        <v>361</v>
      </c>
      <c r="G412" s="214" t="s">
        <v>405</v>
      </c>
      <c r="H412" s="221">
        <v>44774.0</v>
      </c>
      <c r="I412" s="219" t="s">
        <v>872</v>
      </c>
      <c r="J412" s="219" t="s">
        <v>241</v>
      </c>
      <c r="K412" s="219" t="s">
        <v>493</v>
      </c>
      <c r="L412" s="214" t="s">
        <v>461</v>
      </c>
      <c r="M412" s="222">
        <v>2022.0</v>
      </c>
      <c r="N412" s="214" t="s">
        <v>523</v>
      </c>
      <c r="O412" s="223">
        <v>3.0</v>
      </c>
      <c r="P412" s="224">
        <f t="shared" si="1"/>
        <v>0.3537581699</v>
      </c>
      <c r="Q412" s="214" t="str">
        <f t="shared" si="2"/>
        <v>High</v>
      </c>
    </row>
    <row r="413" ht="15.75" customHeight="1">
      <c r="A413" s="214" t="s">
        <v>873</v>
      </c>
      <c r="B413" s="216">
        <v>6932.0</v>
      </c>
      <c r="C413" s="216">
        <v>3218.0</v>
      </c>
      <c r="D413" s="217">
        <v>20.0</v>
      </c>
      <c r="E413" s="219" t="s">
        <v>242</v>
      </c>
      <c r="F413" s="219" t="s">
        <v>356</v>
      </c>
      <c r="G413" s="214" t="s">
        <v>405</v>
      </c>
      <c r="H413" s="221">
        <v>44028.0</v>
      </c>
      <c r="I413" s="219" t="s">
        <v>874</v>
      </c>
      <c r="J413" s="219" t="s">
        <v>159</v>
      </c>
      <c r="K413" s="219" t="s">
        <v>409</v>
      </c>
      <c r="L413" s="214" t="s">
        <v>422</v>
      </c>
      <c r="M413" s="222">
        <v>2020.0</v>
      </c>
      <c r="N413" s="214" t="s">
        <v>404</v>
      </c>
      <c r="O413" s="223">
        <v>3.0</v>
      </c>
      <c r="P413" s="224">
        <f t="shared" si="1"/>
        <v>0.4642238892</v>
      </c>
      <c r="Q413" s="214" t="str">
        <f t="shared" si="2"/>
        <v>High</v>
      </c>
    </row>
    <row r="414" ht="15.75" customHeight="1">
      <c r="A414" s="214" t="s">
        <v>875</v>
      </c>
      <c r="B414" s="216">
        <v>7748.0</v>
      </c>
      <c r="C414" s="216">
        <v>1706.0</v>
      </c>
      <c r="D414" s="217">
        <v>16.0</v>
      </c>
      <c r="E414" s="219" t="s">
        <v>157</v>
      </c>
      <c r="F414" s="219" t="s">
        <v>355</v>
      </c>
      <c r="G414" s="214" t="s">
        <v>406</v>
      </c>
      <c r="H414" s="221">
        <v>43953.0</v>
      </c>
      <c r="I414" s="219" t="s">
        <v>876</v>
      </c>
      <c r="J414" s="219" t="s">
        <v>313</v>
      </c>
      <c r="K414" s="219" t="s">
        <v>518</v>
      </c>
      <c r="L414" s="214" t="s">
        <v>419</v>
      </c>
      <c r="M414" s="222">
        <v>2020.0</v>
      </c>
      <c r="N414" s="214" t="s">
        <v>411</v>
      </c>
      <c r="O414" s="223">
        <v>2.0</v>
      </c>
      <c r="P414" s="224">
        <f t="shared" si="1"/>
        <v>0.2201858544</v>
      </c>
      <c r="Q414" s="214" t="str">
        <f t="shared" si="2"/>
        <v>High</v>
      </c>
    </row>
    <row r="415" ht="15.75" customHeight="1">
      <c r="A415" s="214" t="s">
        <v>875</v>
      </c>
      <c r="B415" s="216">
        <v>6381.0</v>
      </c>
      <c r="C415" s="216">
        <v>2763.0</v>
      </c>
      <c r="D415" s="217">
        <v>20.0</v>
      </c>
      <c r="E415" s="219" t="s">
        <v>242</v>
      </c>
      <c r="F415" s="219" t="s">
        <v>317</v>
      </c>
      <c r="G415" s="214" t="s">
        <v>392</v>
      </c>
      <c r="H415" s="221">
        <v>43953.0</v>
      </c>
      <c r="I415" s="219" t="s">
        <v>876</v>
      </c>
      <c r="J415" s="219" t="s">
        <v>313</v>
      </c>
      <c r="K415" s="219" t="s">
        <v>518</v>
      </c>
      <c r="L415" s="214" t="s">
        <v>419</v>
      </c>
      <c r="M415" s="222">
        <v>2020.0</v>
      </c>
      <c r="N415" s="214" t="s">
        <v>411</v>
      </c>
      <c r="O415" s="223">
        <v>2.0</v>
      </c>
      <c r="P415" s="224">
        <f t="shared" si="1"/>
        <v>0.4330042313</v>
      </c>
      <c r="Q415" s="214" t="str">
        <f t="shared" si="2"/>
        <v>High</v>
      </c>
    </row>
    <row r="416" ht="15.75" customHeight="1">
      <c r="A416" s="214" t="s">
        <v>875</v>
      </c>
      <c r="B416" s="216">
        <v>992.0</v>
      </c>
      <c r="C416" s="216">
        <v>64.0</v>
      </c>
      <c r="D416" s="217">
        <v>6.0</v>
      </c>
      <c r="E416" s="219" t="s">
        <v>157</v>
      </c>
      <c r="F416" s="219" t="s">
        <v>358</v>
      </c>
      <c r="G416" s="214" t="s">
        <v>350</v>
      </c>
      <c r="H416" s="221">
        <v>43953.0</v>
      </c>
      <c r="I416" s="219" t="s">
        <v>876</v>
      </c>
      <c r="J416" s="219" t="s">
        <v>313</v>
      </c>
      <c r="K416" s="219" t="s">
        <v>518</v>
      </c>
      <c r="L416" s="214" t="s">
        <v>419</v>
      </c>
      <c r="M416" s="222">
        <v>2020.0</v>
      </c>
      <c r="N416" s="214" t="s">
        <v>411</v>
      </c>
      <c r="O416" s="223">
        <v>2.0</v>
      </c>
      <c r="P416" s="224">
        <f t="shared" si="1"/>
        <v>0.06451612903</v>
      </c>
      <c r="Q416" s="214" t="str">
        <f t="shared" si="2"/>
        <v>Medium</v>
      </c>
    </row>
    <row r="417" ht="15.75" customHeight="1">
      <c r="A417" s="214" t="s">
        <v>877</v>
      </c>
      <c r="B417" s="216">
        <v>8649.0</v>
      </c>
      <c r="C417" s="216">
        <v>2631.0</v>
      </c>
      <c r="D417" s="217">
        <v>13.0</v>
      </c>
      <c r="E417" s="219" t="s">
        <v>157</v>
      </c>
      <c r="F417" s="219" t="s">
        <v>360</v>
      </c>
      <c r="G417" s="214" t="s">
        <v>406</v>
      </c>
      <c r="H417" s="221">
        <v>45301.0</v>
      </c>
      <c r="I417" s="219" t="s">
        <v>878</v>
      </c>
      <c r="J417" s="219" t="s">
        <v>117</v>
      </c>
      <c r="K417" s="219" t="s">
        <v>508</v>
      </c>
      <c r="L417" s="214" t="s">
        <v>477</v>
      </c>
      <c r="M417" s="222">
        <v>2024.0</v>
      </c>
      <c r="N417" s="214" t="s">
        <v>497</v>
      </c>
      <c r="O417" s="223">
        <v>1.0</v>
      </c>
      <c r="P417" s="224">
        <f t="shared" si="1"/>
        <v>0.304197017</v>
      </c>
      <c r="Q417" s="214" t="str">
        <f t="shared" si="2"/>
        <v>High</v>
      </c>
    </row>
    <row r="418" ht="15.75" customHeight="1">
      <c r="A418" s="214" t="s">
        <v>877</v>
      </c>
      <c r="B418" s="216">
        <v>8649.0</v>
      </c>
      <c r="C418" s="216">
        <v>2631.0</v>
      </c>
      <c r="D418" s="217">
        <v>13.0</v>
      </c>
      <c r="E418" s="219" t="s">
        <v>157</v>
      </c>
      <c r="F418" s="219" t="s">
        <v>360</v>
      </c>
      <c r="G418" s="214" t="s">
        <v>406</v>
      </c>
      <c r="H418" s="221">
        <v>44104.0</v>
      </c>
      <c r="I418" s="219" t="s">
        <v>879</v>
      </c>
      <c r="J418" s="219" t="s">
        <v>223</v>
      </c>
      <c r="K418" s="219" t="s">
        <v>473</v>
      </c>
      <c r="L418" s="214" t="s">
        <v>434</v>
      </c>
      <c r="M418" s="222">
        <v>2020.0</v>
      </c>
      <c r="N418" s="214" t="s">
        <v>536</v>
      </c>
      <c r="O418" s="223">
        <v>3.0</v>
      </c>
      <c r="P418" s="224">
        <f t="shared" si="1"/>
        <v>0.304197017</v>
      </c>
      <c r="Q418" s="214" t="str">
        <f t="shared" si="2"/>
        <v>High</v>
      </c>
    </row>
    <row r="419" ht="15.75" customHeight="1">
      <c r="A419" s="214" t="s">
        <v>880</v>
      </c>
      <c r="B419" s="216">
        <v>4099.0</v>
      </c>
      <c r="C419" s="216">
        <v>52.0</v>
      </c>
      <c r="D419" s="217">
        <v>18.0</v>
      </c>
      <c r="E419" s="219" t="s">
        <v>157</v>
      </c>
      <c r="F419" s="219" t="s">
        <v>360</v>
      </c>
      <c r="G419" s="214" t="s">
        <v>392</v>
      </c>
      <c r="H419" s="221">
        <v>44648.0</v>
      </c>
      <c r="I419" s="219" t="s">
        <v>881</v>
      </c>
      <c r="J419" s="219" t="s">
        <v>223</v>
      </c>
      <c r="K419" s="219" t="s">
        <v>428</v>
      </c>
      <c r="L419" s="214" t="s">
        <v>455</v>
      </c>
      <c r="M419" s="222">
        <v>2022.0</v>
      </c>
      <c r="N419" s="214" t="s">
        <v>433</v>
      </c>
      <c r="O419" s="223">
        <v>1.0</v>
      </c>
      <c r="P419" s="224">
        <f t="shared" si="1"/>
        <v>0.01268602098</v>
      </c>
      <c r="Q419" s="214" t="str">
        <f t="shared" si="2"/>
        <v>Medium</v>
      </c>
    </row>
    <row r="420" ht="15.75" customHeight="1">
      <c r="A420" s="214" t="s">
        <v>882</v>
      </c>
      <c r="B420" s="216">
        <v>2539.0</v>
      </c>
      <c r="C420" s="216">
        <v>324.0</v>
      </c>
      <c r="D420" s="217">
        <v>5.0</v>
      </c>
      <c r="E420" s="219" t="s">
        <v>157</v>
      </c>
      <c r="F420" s="219" t="s">
        <v>355</v>
      </c>
      <c r="G420" s="214" t="s">
        <v>392</v>
      </c>
      <c r="H420" s="221">
        <v>44226.0</v>
      </c>
      <c r="I420" s="219" t="s">
        <v>883</v>
      </c>
      <c r="J420" s="219" t="s">
        <v>117</v>
      </c>
      <c r="K420" s="219" t="s">
        <v>508</v>
      </c>
      <c r="L420" s="214" t="s">
        <v>438</v>
      </c>
      <c r="M420" s="222">
        <v>2021.0</v>
      </c>
      <c r="N420" s="214" t="s">
        <v>497</v>
      </c>
      <c r="O420" s="223">
        <v>1.0</v>
      </c>
      <c r="P420" s="224">
        <f t="shared" si="1"/>
        <v>0.127609295</v>
      </c>
      <c r="Q420" s="214" t="str">
        <f t="shared" si="2"/>
        <v>Medium</v>
      </c>
    </row>
    <row r="421" ht="15.75" customHeight="1">
      <c r="A421" s="214" t="s">
        <v>884</v>
      </c>
      <c r="B421" s="216">
        <v>9845.0</v>
      </c>
      <c r="C421" s="216">
        <v>3062.0</v>
      </c>
      <c r="D421" s="217">
        <v>9.0</v>
      </c>
      <c r="E421" s="219" t="s">
        <v>242</v>
      </c>
      <c r="F421" s="219" t="s">
        <v>357</v>
      </c>
      <c r="G421" s="214" t="s">
        <v>405</v>
      </c>
      <c r="H421" s="221">
        <v>45730.0</v>
      </c>
      <c r="I421" s="219" t="s">
        <v>885</v>
      </c>
      <c r="J421" s="219" t="s">
        <v>159</v>
      </c>
      <c r="K421" s="219" t="s">
        <v>409</v>
      </c>
      <c r="L421" s="214" t="s">
        <v>489</v>
      </c>
      <c r="M421" s="222">
        <v>2025.0</v>
      </c>
      <c r="N421" s="214" t="s">
        <v>433</v>
      </c>
      <c r="O421" s="223">
        <v>1.0</v>
      </c>
      <c r="P421" s="224">
        <f t="shared" si="1"/>
        <v>0.3110208228</v>
      </c>
      <c r="Q421" s="214" t="str">
        <f t="shared" si="2"/>
        <v>High</v>
      </c>
    </row>
    <row r="422" ht="15.75" customHeight="1">
      <c r="A422" s="214" t="s">
        <v>886</v>
      </c>
      <c r="B422" s="216">
        <v>2901.0</v>
      </c>
      <c r="C422" s="216">
        <v>1411.0</v>
      </c>
      <c r="D422" s="217">
        <v>2.0</v>
      </c>
      <c r="E422" s="219" t="s">
        <v>242</v>
      </c>
      <c r="F422" s="219" t="s">
        <v>357</v>
      </c>
      <c r="G422" s="214" t="s">
        <v>351</v>
      </c>
      <c r="H422" s="221">
        <v>44495.0</v>
      </c>
      <c r="I422" s="219" t="s">
        <v>887</v>
      </c>
      <c r="J422" s="219" t="s">
        <v>241</v>
      </c>
      <c r="K422" s="219" t="s">
        <v>504</v>
      </c>
      <c r="L422" s="214" t="s">
        <v>413</v>
      </c>
      <c r="M422" s="222">
        <v>2021.0</v>
      </c>
      <c r="N422" s="214" t="s">
        <v>414</v>
      </c>
      <c r="O422" s="223">
        <v>4.0</v>
      </c>
      <c r="P422" s="224">
        <f t="shared" si="1"/>
        <v>0.4863840055</v>
      </c>
      <c r="Q422" s="214" t="str">
        <f t="shared" si="2"/>
        <v>Medium</v>
      </c>
    </row>
    <row r="423" ht="15.75" customHeight="1">
      <c r="A423" s="214" t="s">
        <v>886</v>
      </c>
      <c r="B423" s="216">
        <v>2901.0</v>
      </c>
      <c r="C423" s="216">
        <v>1411.0</v>
      </c>
      <c r="D423" s="217">
        <v>2.0</v>
      </c>
      <c r="E423" s="219" t="s">
        <v>242</v>
      </c>
      <c r="F423" s="219" t="s">
        <v>357</v>
      </c>
      <c r="G423" s="214" t="s">
        <v>351</v>
      </c>
      <c r="H423" s="221">
        <v>44937.0</v>
      </c>
      <c r="I423" s="219" t="s">
        <v>888</v>
      </c>
      <c r="J423" s="219" t="s">
        <v>117</v>
      </c>
      <c r="K423" s="219" t="s">
        <v>423</v>
      </c>
      <c r="L423" s="214" t="s">
        <v>465</v>
      </c>
      <c r="M423" s="222">
        <v>2023.0</v>
      </c>
      <c r="N423" s="214" t="s">
        <v>497</v>
      </c>
      <c r="O423" s="223">
        <v>1.0</v>
      </c>
      <c r="P423" s="224">
        <f t="shared" si="1"/>
        <v>0.4863840055</v>
      </c>
      <c r="Q423" s="214" t="str">
        <f t="shared" si="2"/>
        <v>Medium</v>
      </c>
    </row>
    <row r="424" ht="15.75" customHeight="1">
      <c r="A424" s="214" t="s">
        <v>886</v>
      </c>
      <c r="B424" s="216">
        <v>6934.0</v>
      </c>
      <c r="C424" s="216">
        <v>1152.0</v>
      </c>
      <c r="D424" s="217">
        <v>6.0</v>
      </c>
      <c r="E424" s="219" t="s">
        <v>242</v>
      </c>
      <c r="F424" s="219" t="s">
        <v>356</v>
      </c>
      <c r="G424" s="214" t="s">
        <v>350</v>
      </c>
      <c r="H424" s="221">
        <v>44495.0</v>
      </c>
      <c r="I424" s="219" t="s">
        <v>887</v>
      </c>
      <c r="J424" s="219" t="s">
        <v>241</v>
      </c>
      <c r="K424" s="219" t="s">
        <v>504</v>
      </c>
      <c r="L424" s="214" t="s">
        <v>413</v>
      </c>
      <c r="M424" s="222">
        <v>2021.0</v>
      </c>
      <c r="N424" s="214" t="s">
        <v>414</v>
      </c>
      <c r="O424" s="223">
        <v>4.0</v>
      </c>
      <c r="P424" s="224">
        <f t="shared" si="1"/>
        <v>0.1661378714</v>
      </c>
      <c r="Q424" s="214" t="str">
        <f t="shared" si="2"/>
        <v>High</v>
      </c>
    </row>
    <row r="425" ht="15.75" customHeight="1">
      <c r="A425" s="214" t="s">
        <v>886</v>
      </c>
      <c r="B425" s="216">
        <v>6934.0</v>
      </c>
      <c r="C425" s="216">
        <v>1152.0</v>
      </c>
      <c r="D425" s="217">
        <v>6.0</v>
      </c>
      <c r="E425" s="219" t="s">
        <v>242</v>
      </c>
      <c r="F425" s="219" t="s">
        <v>356</v>
      </c>
      <c r="G425" s="214" t="s">
        <v>350</v>
      </c>
      <c r="H425" s="221">
        <v>44937.0</v>
      </c>
      <c r="I425" s="219" t="s">
        <v>888</v>
      </c>
      <c r="J425" s="219" t="s">
        <v>117</v>
      </c>
      <c r="K425" s="219" t="s">
        <v>423</v>
      </c>
      <c r="L425" s="214" t="s">
        <v>465</v>
      </c>
      <c r="M425" s="222">
        <v>2023.0</v>
      </c>
      <c r="N425" s="214" t="s">
        <v>497</v>
      </c>
      <c r="O425" s="223">
        <v>1.0</v>
      </c>
      <c r="P425" s="224">
        <f t="shared" si="1"/>
        <v>0.1661378714</v>
      </c>
      <c r="Q425" s="214" t="str">
        <f t="shared" si="2"/>
        <v>High</v>
      </c>
    </row>
    <row r="426" ht="15.75" customHeight="1">
      <c r="A426" s="214" t="s">
        <v>889</v>
      </c>
      <c r="B426" s="216">
        <v>9640.0</v>
      </c>
      <c r="C426" s="216">
        <v>2606.0</v>
      </c>
      <c r="D426" s="217">
        <v>2.0</v>
      </c>
      <c r="E426" s="219" t="s">
        <v>216</v>
      </c>
      <c r="F426" s="219" t="s">
        <v>361</v>
      </c>
      <c r="G426" s="214" t="s">
        <v>350</v>
      </c>
      <c r="H426" s="221">
        <v>44500.0</v>
      </c>
      <c r="I426" s="219" t="s">
        <v>890</v>
      </c>
      <c r="J426" s="219" t="s">
        <v>271</v>
      </c>
      <c r="K426" s="219" t="s">
        <v>568</v>
      </c>
      <c r="L426" s="214" t="s">
        <v>413</v>
      </c>
      <c r="M426" s="222">
        <v>2021.0</v>
      </c>
      <c r="N426" s="214" t="s">
        <v>414</v>
      </c>
      <c r="O426" s="223">
        <v>4.0</v>
      </c>
      <c r="P426" s="224">
        <f t="shared" si="1"/>
        <v>0.2703319502</v>
      </c>
      <c r="Q426" s="214" t="str">
        <f t="shared" si="2"/>
        <v>High</v>
      </c>
    </row>
    <row r="427" ht="15.75" customHeight="1">
      <c r="A427" s="214" t="s">
        <v>891</v>
      </c>
      <c r="B427" s="216">
        <v>7930.0</v>
      </c>
      <c r="C427" s="216">
        <v>1981.0</v>
      </c>
      <c r="D427" s="217">
        <v>13.0</v>
      </c>
      <c r="E427" s="219" t="s">
        <v>216</v>
      </c>
      <c r="F427" s="219" t="s">
        <v>359</v>
      </c>
      <c r="G427" s="214" t="s">
        <v>350</v>
      </c>
      <c r="H427" s="221">
        <v>45050.0</v>
      </c>
      <c r="I427" s="219" t="s">
        <v>892</v>
      </c>
      <c r="J427" s="219" t="s">
        <v>313</v>
      </c>
      <c r="K427" s="219" t="s">
        <v>526</v>
      </c>
      <c r="L427" s="214" t="s">
        <v>469</v>
      </c>
      <c r="M427" s="222">
        <v>2023.0</v>
      </c>
      <c r="N427" s="214" t="s">
        <v>411</v>
      </c>
      <c r="O427" s="223">
        <v>2.0</v>
      </c>
      <c r="P427" s="224">
        <f t="shared" si="1"/>
        <v>0.2498108449</v>
      </c>
      <c r="Q427" s="214" t="str">
        <f t="shared" si="2"/>
        <v>High</v>
      </c>
    </row>
    <row r="428" ht="15.75" customHeight="1">
      <c r="A428" s="214" t="s">
        <v>891</v>
      </c>
      <c r="B428" s="216">
        <v>7930.0</v>
      </c>
      <c r="C428" s="216">
        <v>1981.0</v>
      </c>
      <c r="D428" s="217">
        <v>13.0</v>
      </c>
      <c r="E428" s="219" t="s">
        <v>216</v>
      </c>
      <c r="F428" s="219" t="s">
        <v>359</v>
      </c>
      <c r="G428" s="214" t="s">
        <v>350</v>
      </c>
      <c r="H428" s="221">
        <v>45513.0</v>
      </c>
      <c r="I428" s="219" t="s">
        <v>893</v>
      </c>
      <c r="J428" s="219" t="s">
        <v>271</v>
      </c>
      <c r="K428" s="219" t="s">
        <v>449</v>
      </c>
      <c r="L428" s="214" t="s">
        <v>483</v>
      </c>
      <c r="M428" s="222">
        <v>2024.0</v>
      </c>
      <c r="N428" s="214" t="s">
        <v>523</v>
      </c>
      <c r="O428" s="223">
        <v>3.0</v>
      </c>
      <c r="P428" s="224">
        <f t="shared" si="1"/>
        <v>0.2498108449</v>
      </c>
      <c r="Q428" s="214" t="str">
        <f t="shared" si="2"/>
        <v>High</v>
      </c>
    </row>
    <row r="429" ht="15.75" customHeight="1">
      <c r="A429" s="214" t="s">
        <v>894</v>
      </c>
      <c r="B429" s="216">
        <v>9894.0</v>
      </c>
      <c r="C429" s="216">
        <v>829.0</v>
      </c>
      <c r="D429" s="217">
        <v>1.0</v>
      </c>
      <c r="E429" s="219" t="s">
        <v>242</v>
      </c>
      <c r="F429" s="219" t="s">
        <v>362</v>
      </c>
      <c r="G429" s="214" t="s">
        <v>405</v>
      </c>
      <c r="H429" s="221">
        <v>44794.0</v>
      </c>
      <c r="I429" s="219" t="s">
        <v>895</v>
      </c>
      <c r="J429" s="219" t="s">
        <v>117</v>
      </c>
      <c r="K429" s="219" t="s">
        <v>496</v>
      </c>
      <c r="L429" s="214" t="s">
        <v>461</v>
      </c>
      <c r="M429" s="222">
        <v>2022.0</v>
      </c>
      <c r="N429" s="214" t="s">
        <v>523</v>
      </c>
      <c r="O429" s="223">
        <v>3.0</v>
      </c>
      <c r="P429" s="224">
        <f t="shared" si="1"/>
        <v>0.08378815444</v>
      </c>
      <c r="Q429" s="214" t="str">
        <f t="shared" si="2"/>
        <v>High</v>
      </c>
    </row>
    <row r="430" ht="15.75" customHeight="1">
      <c r="A430" s="214" t="s">
        <v>894</v>
      </c>
      <c r="B430" s="216">
        <v>4534.0</v>
      </c>
      <c r="C430" s="216">
        <v>2235.0</v>
      </c>
      <c r="D430" s="217">
        <v>4.0</v>
      </c>
      <c r="E430" s="219" t="s">
        <v>216</v>
      </c>
      <c r="F430" s="219" t="s">
        <v>344</v>
      </c>
      <c r="G430" s="214" t="s">
        <v>405</v>
      </c>
      <c r="H430" s="221">
        <v>44794.0</v>
      </c>
      <c r="I430" s="219" t="s">
        <v>895</v>
      </c>
      <c r="J430" s="219" t="s">
        <v>117</v>
      </c>
      <c r="K430" s="219" t="s">
        <v>496</v>
      </c>
      <c r="L430" s="214" t="s">
        <v>461</v>
      </c>
      <c r="M430" s="222">
        <v>2022.0</v>
      </c>
      <c r="N430" s="214" t="s">
        <v>523</v>
      </c>
      <c r="O430" s="223">
        <v>3.0</v>
      </c>
      <c r="P430" s="224">
        <f t="shared" si="1"/>
        <v>0.4929422144</v>
      </c>
      <c r="Q430" s="214" t="str">
        <f t="shared" si="2"/>
        <v>Medium</v>
      </c>
    </row>
    <row r="431" ht="15.75" customHeight="1">
      <c r="A431" s="214" t="s">
        <v>896</v>
      </c>
      <c r="B431" s="216">
        <v>4911.0</v>
      </c>
      <c r="C431" s="216">
        <v>186.0</v>
      </c>
      <c r="D431" s="217">
        <v>20.0</v>
      </c>
      <c r="E431" s="219" t="s">
        <v>157</v>
      </c>
      <c r="F431" s="219" t="s">
        <v>358</v>
      </c>
      <c r="G431" s="214" t="s">
        <v>351</v>
      </c>
      <c r="H431" s="221">
        <v>44731.0</v>
      </c>
      <c r="I431" s="219" t="s">
        <v>897</v>
      </c>
      <c r="J431" s="219" t="s">
        <v>223</v>
      </c>
      <c r="K431" s="219" t="s">
        <v>402</v>
      </c>
      <c r="L431" s="214" t="s">
        <v>458</v>
      </c>
      <c r="M431" s="222">
        <v>2022.0</v>
      </c>
      <c r="N431" s="214" t="s">
        <v>396</v>
      </c>
      <c r="O431" s="223">
        <v>2.0</v>
      </c>
      <c r="P431" s="224">
        <f t="shared" si="1"/>
        <v>0.03787416005</v>
      </c>
      <c r="Q431" s="214" t="str">
        <f t="shared" si="2"/>
        <v>Medium</v>
      </c>
    </row>
    <row r="432" ht="15.75" customHeight="1">
      <c r="A432" s="214" t="s">
        <v>896</v>
      </c>
      <c r="B432" s="216">
        <v>531.0</v>
      </c>
      <c r="C432" s="216">
        <v>189.0</v>
      </c>
      <c r="D432" s="217">
        <v>20.0</v>
      </c>
      <c r="E432" s="219" t="s">
        <v>216</v>
      </c>
      <c r="F432" s="219" t="s">
        <v>361</v>
      </c>
      <c r="G432" s="214" t="s">
        <v>351</v>
      </c>
      <c r="H432" s="221">
        <v>44731.0</v>
      </c>
      <c r="I432" s="219" t="s">
        <v>897</v>
      </c>
      <c r="J432" s="219" t="s">
        <v>223</v>
      </c>
      <c r="K432" s="219" t="s">
        <v>402</v>
      </c>
      <c r="L432" s="214" t="s">
        <v>458</v>
      </c>
      <c r="M432" s="222">
        <v>2022.0</v>
      </c>
      <c r="N432" s="214" t="s">
        <v>396</v>
      </c>
      <c r="O432" s="223">
        <v>2.0</v>
      </c>
      <c r="P432" s="224">
        <f t="shared" si="1"/>
        <v>0.3559322034</v>
      </c>
      <c r="Q432" s="214" t="str">
        <f t="shared" si="2"/>
        <v>Medium</v>
      </c>
    </row>
    <row r="433" ht="15.75" customHeight="1">
      <c r="A433" s="214" t="s">
        <v>898</v>
      </c>
      <c r="B433" s="216">
        <v>9707.0</v>
      </c>
      <c r="C433" s="216">
        <v>3483.0</v>
      </c>
      <c r="D433" s="217">
        <v>10.0</v>
      </c>
      <c r="E433" s="219" t="s">
        <v>157</v>
      </c>
      <c r="F433" s="219" t="s">
        <v>355</v>
      </c>
      <c r="G433" s="214" t="s">
        <v>406</v>
      </c>
      <c r="H433" s="221">
        <v>45686.0</v>
      </c>
      <c r="I433" s="219" t="s">
        <v>899</v>
      </c>
      <c r="J433" s="219" t="s">
        <v>271</v>
      </c>
      <c r="K433" s="219" t="s">
        <v>568</v>
      </c>
      <c r="L433" s="214" t="s">
        <v>487</v>
      </c>
      <c r="M433" s="222">
        <v>2025.0</v>
      </c>
      <c r="N433" s="214" t="s">
        <v>497</v>
      </c>
      <c r="O433" s="223">
        <v>1.0</v>
      </c>
      <c r="P433" s="224">
        <f t="shared" si="1"/>
        <v>0.3588132276</v>
      </c>
      <c r="Q433" s="214" t="str">
        <f t="shared" si="2"/>
        <v>High</v>
      </c>
    </row>
    <row r="434" ht="15.75" customHeight="1">
      <c r="A434" s="214" t="s">
        <v>898</v>
      </c>
      <c r="B434" s="216">
        <v>8521.0</v>
      </c>
      <c r="C434" s="216">
        <v>2584.0</v>
      </c>
      <c r="D434" s="217">
        <v>7.0</v>
      </c>
      <c r="E434" s="219" t="s">
        <v>242</v>
      </c>
      <c r="F434" s="219" t="s">
        <v>357</v>
      </c>
      <c r="G434" s="214" t="s">
        <v>405</v>
      </c>
      <c r="H434" s="221">
        <v>45686.0</v>
      </c>
      <c r="I434" s="219" t="s">
        <v>899</v>
      </c>
      <c r="J434" s="219" t="s">
        <v>271</v>
      </c>
      <c r="K434" s="219" t="s">
        <v>568</v>
      </c>
      <c r="L434" s="214" t="s">
        <v>487</v>
      </c>
      <c r="M434" s="222">
        <v>2025.0</v>
      </c>
      <c r="N434" s="214" t="s">
        <v>497</v>
      </c>
      <c r="O434" s="223">
        <v>1.0</v>
      </c>
      <c r="P434" s="224">
        <f t="shared" si="1"/>
        <v>0.3032507922</v>
      </c>
      <c r="Q434" s="214" t="str">
        <f t="shared" si="2"/>
        <v>High</v>
      </c>
    </row>
    <row r="435" ht="15.75" customHeight="1">
      <c r="A435" s="214" t="s">
        <v>900</v>
      </c>
      <c r="B435" s="216">
        <v>8438.0</v>
      </c>
      <c r="C435" s="216">
        <v>3427.0</v>
      </c>
      <c r="D435" s="217">
        <v>12.0</v>
      </c>
      <c r="E435" s="219" t="s">
        <v>242</v>
      </c>
      <c r="F435" s="219" t="s">
        <v>362</v>
      </c>
      <c r="G435" s="214" t="s">
        <v>350</v>
      </c>
      <c r="H435" s="221">
        <v>44575.0</v>
      </c>
      <c r="I435" s="219" t="s">
        <v>901</v>
      </c>
      <c r="J435" s="219" t="s">
        <v>223</v>
      </c>
      <c r="K435" s="219" t="s">
        <v>402</v>
      </c>
      <c r="L435" s="214" t="s">
        <v>453</v>
      </c>
      <c r="M435" s="222">
        <v>2022.0</v>
      </c>
      <c r="N435" s="214" t="s">
        <v>497</v>
      </c>
      <c r="O435" s="223">
        <v>1.0</v>
      </c>
      <c r="P435" s="224">
        <f t="shared" si="1"/>
        <v>0.4061388955</v>
      </c>
      <c r="Q435" s="214" t="str">
        <f t="shared" si="2"/>
        <v>High</v>
      </c>
    </row>
    <row r="436" ht="15.75" customHeight="1">
      <c r="A436" s="214" t="s">
        <v>900</v>
      </c>
      <c r="B436" s="216">
        <v>1689.0</v>
      </c>
      <c r="C436" s="216">
        <v>109.0</v>
      </c>
      <c r="D436" s="217">
        <v>9.0</v>
      </c>
      <c r="E436" s="219" t="s">
        <v>157</v>
      </c>
      <c r="F436" s="219" t="s">
        <v>355</v>
      </c>
      <c r="G436" s="214" t="s">
        <v>392</v>
      </c>
      <c r="H436" s="221">
        <v>44575.0</v>
      </c>
      <c r="I436" s="219" t="s">
        <v>901</v>
      </c>
      <c r="J436" s="219" t="s">
        <v>223</v>
      </c>
      <c r="K436" s="219" t="s">
        <v>402</v>
      </c>
      <c r="L436" s="214" t="s">
        <v>453</v>
      </c>
      <c r="M436" s="222">
        <v>2022.0</v>
      </c>
      <c r="N436" s="214" t="s">
        <v>497</v>
      </c>
      <c r="O436" s="223">
        <v>1.0</v>
      </c>
      <c r="P436" s="224">
        <f t="shared" si="1"/>
        <v>0.06453522795</v>
      </c>
      <c r="Q436" s="214" t="str">
        <f t="shared" si="2"/>
        <v>Medium</v>
      </c>
    </row>
    <row r="437" ht="15.75" customHeight="1">
      <c r="A437" s="214" t="s">
        <v>900</v>
      </c>
      <c r="B437" s="216">
        <v>3936.0</v>
      </c>
      <c r="C437" s="216">
        <v>1626.0</v>
      </c>
      <c r="D437" s="217">
        <v>14.0</v>
      </c>
      <c r="E437" s="219" t="s">
        <v>242</v>
      </c>
      <c r="F437" s="219" t="s">
        <v>357</v>
      </c>
      <c r="G437" s="214" t="s">
        <v>405</v>
      </c>
      <c r="H437" s="221">
        <v>44575.0</v>
      </c>
      <c r="I437" s="219" t="s">
        <v>901</v>
      </c>
      <c r="J437" s="219" t="s">
        <v>223</v>
      </c>
      <c r="K437" s="219" t="s">
        <v>402</v>
      </c>
      <c r="L437" s="214" t="s">
        <v>453</v>
      </c>
      <c r="M437" s="222">
        <v>2022.0</v>
      </c>
      <c r="N437" s="214" t="s">
        <v>497</v>
      </c>
      <c r="O437" s="223">
        <v>1.0</v>
      </c>
      <c r="P437" s="224">
        <f t="shared" si="1"/>
        <v>0.4131097561</v>
      </c>
      <c r="Q437" s="214" t="str">
        <f t="shared" si="2"/>
        <v>Medium</v>
      </c>
    </row>
    <row r="438" ht="15.75" customHeight="1">
      <c r="A438" s="214" t="s">
        <v>902</v>
      </c>
      <c r="B438" s="216">
        <v>7664.0</v>
      </c>
      <c r="C438" s="216">
        <v>1753.0</v>
      </c>
      <c r="D438" s="217">
        <v>19.0</v>
      </c>
      <c r="E438" s="219" t="s">
        <v>157</v>
      </c>
      <c r="F438" s="219" t="s">
        <v>358</v>
      </c>
      <c r="G438" s="214" t="s">
        <v>351</v>
      </c>
      <c r="H438" s="221">
        <v>45092.0</v>
      </c>
      <c r="I438" s="219" t="s">
        <v>903</v>
      </c>
      <c r="J438" s="219" t="s">
        <v>313</v>
      </c>
      <c r="K438" s="219" t="s">
        <v>518</v>
      </c>
      <c r="L438" s="214" t="s">
        <v>395</v>
      </c>
      <c r="M438" s="222">
        <v>2023.0</v>
      </c>
      <c r="N438" s="214" t="s">
        <v>396</v>
      </c>
      <c r="O438" s="223">
        <v>2.0</v>
      </c>
      <c r="P438" s="224">
        <f t="shared" si="1"/>
        <v>0.2287317328</v>
      </c>
      <c r="Q438" s="214" t="str">
        <f t="shared" si="2"/>
        <v>High</v>
      </c>
    </row>
    <row r="439" ht="15.75" customHeight="1">
      <c r="A439" s="214" t="s">
        <v>904</v>
      </c>
      <c r="B439" s="216">
        <v>721.0</v>
      </c>
      <c r="C439" s="216">
        <v>258.0</v>
      </c>
      <c r="D439" s="217">
        <v>13.0</v>
      </c>
      <c r="E439" s="219" t="s">
        <v>157</v>
      </c>
      <c r="F439" s="219" t="s">
        <v>360</v>
      </c>
      <c r="G439" s="214" t="s">
        <v>351</v>
      </c>
      <c r="H439" s="221">
        <v>45217.0</v>
      </c>
      <c r="I439" s="219" t="s">
        <v>905</v>
      </c>
      <c r="J439" s="219" t="s">
        <v>271</v>
      </c>
      <c r="K439" s="219" t="s">
        <v>568</v>
      </c>
      <c r="L439" s="214" t="s">
        <v>475</v>
      </c>
      <c r="M439" s="222">
        <v>2023.0</v>
      </c>
      <c r="N439" s="214" t="s">
        <v>414</v>
      </c>
      <c r="O439" s="223">
        <v>4.0</v>
      </c>
      <c r="P439" s="224">
        <f t="shared" si="1"/>
        <v>0.3578363384</v>
      </c>
      <c r="Q439" s="214" t="str">
        <f t="shared" si="2"/>
        <v>Medium</v>
      </c>
    </row>
    <row r="440" ht="15.75" customHeight="1">
      <c r="A440" s="214" t="s">
        <v>904</v>
      </c>
      <c r="B440" s="216">
        <v>721.0</v>
      </c>
      <c r="C440" s="216">
        <v>258.0</v>
      </c>
      <c r="D440" s="217">
        <v>13.0</v>
      </c>
      <c r="E440" s="219" t="s">
        <v>157</v>
      </c>
      <c r="F440" s="219" t="s">
        <v>360</v>
      </c>
      <c r="G440" s="214" t="s">
        <v>351</v>
      </c>
      <c r="H440" s="221">
        <v>44725.0</v>
      </c>
      <c r="I440" s="219" t="s">
        <v>906</v>
      </c>
      <c r="J440" s="219" t="s">
        <v>223</v>
      </c>
      <c r="K440" s="219" t="s">
        <v>402</v>
      </c>
      <c r="L440" s="214" t="s">
        <v>458</v>
      </c>
      <c r="M440" s="222">
        <v>2022.0</v>
      </c>
      <c r="N440" s="214" t="s">
        <v>396</v>
      </c>
      <c r="O440" s="223">
        <v>2.0</v>
      </c>
      <c r="P440" s="224">
        <f t="shared" si="1"/>
        <v>0.3578363384</v>
      </c>
      <c r="Q440" s="214" t="str">
        <f t="shared" si="2"/>
        <v>Medium</v>
      </c>
    </row>
    <row r="441" ht="15.75" customHeight="1">
      <c r="A441" s="214" t="s">
        <v>904</v>
      </c>
      <c r="B441" s="216">
        <v>8364.0</v>
      </c>
      <c r="C441" s="216">
        <v>3055.0</v>
      </c>
      <c r="D441" s="217">
        <v>17.0</v>
      </c>
      <c r="E441" s="219" t="s">
        <v>157</v>
      </c>
      <c r="F441" s="219" t="s">
        <v>360</v>
      </c>
      <c r="G441" s="214" t="s">
        <v>350</v>
      </c>
      <c r="H441" s="221">
        <v>45217.0</v>
      </c>
      <c r="I441" s="219" t="s">
        <v>905</v>
      </c>
      <c r="J441" s="219" t="s">
        <v>271</v>
      </c>
      <c r="K441" s="219" t="s">
        <v>568</v>
      </c>
      <c r="L441" s="214" t="s">
        <v>475</v>
      </c>
      <c r="M441" s="222">
        <v>2023.0</v>
      </c>
      <c r="N441" s="214" t="s">
        <v>414</v>
      </c>
      <c r="O441" s="223">
        <v>4.0</v>
      </c>
      <c r="P441" s="224">
        <f t="shared" si="1"/>
        <v>0.3652558584</v>
      </c>
      <c r="Q441" s="214" t="str">
        <f t="shared" si="2"/>
        <v>High</v>
      </c>
    </row>
    <row r="442" ht="15.75" customHeight="1">
      <c r="A442" s="214" t="s">
        <v>904</v>
      </c>
      <c r="B442" s="216">
        <v>8364.0</v>
      </c>
      <c r="C442" s="216">
        <v>3055.0</v>
      </c>
      <c r="D442" s="217">
        <v>17.0</v>
      </c>
      <c r="E442" s="219" t="s">
        <v>157</v>
      </c>
      <c r="F442" s="219" t="s">
        <v>360</v>
      </c>
      <c r="G442" s="214" t="s">
        <v>350</v>
      </c>
      <c r="H442" s="221">
        <v>44725.0</v>
      </c>
      <c r="I442" s="219" t="s">
        <v>906</v>
      </c>
      <c r="J442" s="219" t="s">
        <v>223</v>
      </c>
      <c r="K442" s="219" t="s">
        <v>402</v>
      </c>
      <c r="L442" s="214" t="s">
        <v>458</v>
      </c>
      <c r="M442" s="222">
        <v>2022.0</v>
      </c>
      <c r="N442" s="214" t="s">
        <v>396</v>
      </c>
      <c r="O442" s="223">
        <v>2.0</v>
      </c>
      <c r="P442" s="224">
        <f t="shared" si="1"/>
        <v>0.3652558584</v>
      </c>
      <c r="Q442" s="214" t="str">
        <f t="shared" si="2"/>
        <v>High</v>
      </c>
    </row>
    <row r="443" ht="15.75" customHeight="1">
      <c r="A443" s="214" t="s">
        <v>904</v>
      </c>
      <c r="B443" s="216">
        <v>5234.0</v>
      </c>
      <c r="C443" s="216">
        <v>2021.0</v>
      </c>
      <c r="D443" s="217">
        <v>15.0</v>
      </c>
      <c r="E443" s="219" t="s">
        <v>216</v>
      </c>
      <c r="F443" s="219" t="s">
        <v>361</v>
      </c>
      <c r="G443" s="214" t="s">
        <v>406</v>
      </c>
      <c r="H443" s="221">
        <v>45217.0</v>
      </c>
      <c r="I443" s="219" t="s">
        <v>905</v>
      </c>
      <c r="J443" s="219" t="s">
        <v>271</v>
      </c>
      <c r="K443" s="219" t="s">
        <v>568</v>
      </c>
      <c r="L443" s="214" t="s">
        <v>475</v>
      </c>
      <c r="M443" s="222">
        <v>2023.0</v>
      </c>
      <c r="N443" s="214" t="s">
        <v>414</v>
      </c>
      <c r="O443" s="223">
        <v>4.0</v>
      </c>
      <c r="P443" s="224">
        <f t="shared" si="1"/>
        <v>0.3861291555</v>
      </c>
      <c r="Q443" s="214" t="str">
        <f t="shared" si="2"/>
        <v>High</v>
      </c>
    </row>
    <row r="444" ht="15.75" customHeight="1">
      <c r="A444" s="214" t="s">
        <v>904</v>
      </c>
      <c r="B444" s="216">
        <v>5234.0</v>
      </c>
      <c r="C444" s="216">
        <v>2021.0</v>
      </c>
      <c r="D444" s="217">
        <v>15.0</v>
      </c>
      <c r="E444" s="219" t="s">
        <v>216</v>
      </c>
      <c r="F444" s="219" t="s">
        <v>361</v>
      </c>
      <c r="G444" s="214" t="s">
        <v>406</v>
      </c>
      <c r="H444" s="221">
        <v>44725.0</v>
      </c>
      <c r="I444" s="219" t="s">
        <v>906</v>
      </c>
      <c r="J444" s="219" t="s">
        <v>223</v>
      </c>
      <c r="K444" s="219" t="s">
        <v>402</v>
      </c>
      <c r="L444" s="214" t="s">
        <v>458</v>
      </c>
      <c r="M444" s="222">
        <v>2022.0</v>
      </c>
      <c r="N444" s="214" t="s">
        <v>396</v>
      </c>
      <c r="O444" s="223">
        <v>2.0</v>
      </c>
      <c r="P444" s="224">
        <f t="shared" si="1"/>
        <v>0.3861291555</v>
      </c>
      <c r="Q444" s="214" t="str">
        <f t="shared" si="2"/>
        <v>High</v>
      </c>
    </row>
    <row r="445" ht="15.75" customHeight="1">
      <c r="A445" s="214" t="s">
        <v>907</v>
      </c>
      <c r="B445" s="216">
        <v>3944.0</v>
      </c>
      <c r="C445" s="216">
        <v>1559.0</v>
      </c>
      <c r="D445" s="217">
        <v>18.0</v>
      </c>
      <c r="E445" s="219" t="s">
        <v>157</v>
      </c>
      <c r="F445" s="219" t="s">
        <v>358</v>
      </c>
      <c r="G445" s="214" t="s">
        <v>350</v>
      </c>
      <c r="H445" s="221">
        <v>45455.0</v>
      </c>
      <c r="I445" s="219" t="s">
        <v>908</v>
      </c>
      <c r="J445" s="219" t="s">
        <v>117</v>
      </c>
      <c r="K445" s="219" t="s">
        <v>508</v>
      </c>
      <c r="L445" s="214" t="s">
        <v>481</v>
      </c>
      <c r="M445" s="222">
        <v>2024.0</v>
      </c>
      <c r="N445" s="214" t="s">
        <v>396</v>
      </c>
      <c r="O445" s="223">
        <v>2.0</v>
      </c>
      <c r="P445" s="224">
        <f t="shared" si="1"/>
        <v>0.3952839757</v>
      </c>
      <c r="Q445" s="214" t="str">
        <f t="shared" si="2"/>
        <v>Medium</v>
      </c>
    </row>
    <row r="446" ht="15.75" customHeight="1">
      <c r="A446" s="214" t="s">
        <v>907</v>
      </c>
      <c r="B446" s="216">
        <v>6711.0</v>
      </c>
      <c r="C446" s="216">
        <v>1045.0</v>
      </c>
      <c r="D446" s="217">
        <v>12.0</v>
      </c>
      <c r="E446" s="219" t="s">
        <v>242</v>
      </c>
      <c r="F446" s="219" t="s">
        <v>356</v>
      </c>
      <c r="G446" s="214" t="s">
        <v>350</v>
      </c>
      <c r="H446" s="221">
        <v>45455.0</v>
      </c>
      <c r="I446" s="219" t="s">
        <v>908</v>
      </c>
      <c r="J446" s="219" t="s">
        <v>117</v>
      </c>
      <c r="K446" s="219" t="s">
        <v>508</v>
      </c>
      <c r="L446" s="214" t="s">
        <v>481</v>
      </c>
      <c r="M446" s="222">
        <v>2024.0</v>
      </c>
      <c r="N446" s="214" t="s">
        <v>396</v>
      </c>
      <c r="O446" s="223">
        <v>2.0</v>
      </c>
      <c r="P446" s="224">
        <f t="shared" si="1"/>
        <v>0.1557144986</v>
      </c>
      <c r="Q446" s="214" t="str">
        <f t="shared" si="2"/>
        <v>High</v>
      </c>
    </row>
    <row r="447" ht="15.75" customHeight="1">
      <c r="A447" s="214" t="s">
        <v>907</v>
      </c>
      <c r="B447" s="216">
        <v>5031.0</v>
      </c>
      <c r="C447" s="216">
        <v>714.0</v>
      </c>
      <c r="D447" s="217">
        <v>4.0</v>
      </c>
      <c r="E447" s="219" t="s">
        <v>216</v>
      </c>
      <c r="F447" s="219" t="s">
        <v>344</v>
      </c>
      <c r="G447" s="214" t="s">
        <v>350</v>
      </c>
      <c r="H447" s="221">
        <v>45455.0</v>
      </c>
      <c r="I447" s="219" t="s">
        <v>908</v>
      </c>
      <c r="J447" s="219" t="s">
        <v>117</v>
      </c>
      <c r="K447" s="219" t="s">
        <v>508</v>
      </c>
      <c r="L447" s="214" t="s">
        <v>481</v>
      </c>
      <c r="M447" s="222">
        <v>2024.0</v>
      </c>
      <c r="N447" s="214" t="s">
        <v>396</v>
      </c>
      <c r="O447" s="223">
        <v>2.0</v>
      </c>
      <c r="P447" s="224">
        <f t="shared" si="1"/>
        <v>0.1419200954</v>
      </c>
      <c r="Q447" s="214" t="str">
        <f t="shared" si="2"/>
        <v>High</v>
      </c>
    </row>
    <row r="448" ht="15.75" customHeight="1">
      <c r="A448" s="214" t="s">
        <v>907</v>
      </c>
      <c r="B448" s="216">
        <v>6295.0</v>
      </c>
      <c r="C448" s="216">
        <v>2469.0</v>
      </c>
      <c r="D448" s="217">
        <v>14.0</v>
      </c>
      <c r="E448" s="219" t="s">
        <v>242</v>
      </c>
      <c r="F448" s="219" t="s">
        <v>362</v>
      </c>
      <c r="G448" s="214" t="s">
        <v>406</v>
      </c>
      <c r="H448" s="221">
        <v>45455.0</v>
      </c>
      <c r="I448" s="219" t="s">
        <v>908</v>
      </c>
      <c r="J448" s="219" t="s">
        <v>117</v>
      </c>
      <c r="K448" s="219" t="s">
        <v>508</v>
      </c>
      <c r="L448" s="214" t="s">
        <v>481</v>
      </c>
      <c r="M448" s="222">
        <v>2024.0</v>
      </c>
      <c r="N448" s="214" t="s">
        <v>396</v>
      </c>
      <c r="O448" s="223">
        <v>2.0</v>
      </c>
      <c r="P448" s="224">
        <f t="shared" si="1"/>
        <v>0.3922160445</v>
      </c>
      <c r="Q448" s="214" t="str">
        <f t="shared" si="2"/>
        <v>High</v>
      </c>
    </row>
    <row r="449" ht="15.75" customHeight="1">
      <c r="A449" s="214" t="s">
        <v>909</v>
      </c>
      <c r="B449" s="216">
        <v>9654.0</v>
      </c>
      <c r="C449" s="216">
        <v>4111.0</v>
      </c>
      <c r="D449" s="217">
        <v>1.0</v>
      </c>
      <c r="E449" s="219" t="s">
        <v>242</v>
      </c>
      <c r="F449" s="219" t="s">
        <v>357</v>
      </c>
      <c r="G449" s="214" t="s">
        <v>392</v>
      </c>
      <c r="H449" s="221">
        <v>44739.0</v>
      </c>
      <c r="I449" s="219" t="s">
        <v>910</v>
      </c>
      <c r="J449" s="219" t="s">
        <v>117</v>
      </c>
      <c r="K449" s="219" t="s">
        <v>508</v>
      </c>
      <c r="L449" s="214" t="s">
        <v>458</v>
      </c>
      <c r="M449" s="222">
        <v>2022.0</v>
      </c>
      <c r="N449" s="214" t="s">
        <v>396</v>
      </c>
      <c r="O449" s="223">
        <v>2.0</v>
      </c>
      <c r="P449" s="224">
        <f t="shared" si="1"/>
        <v>0.4258338513</v>
      </c>
      <c r="Q449" s="214" t="str">
        <f t="shared" si="2"/>
        <v>High</v>
      </c>
    </row>
    <row r="450" ht="15.75" customHeight="1">
      <c r="A450" s="214" t="s">
        <v>909</v>
      </c>
      <c r="B450" s="216">
        <v>3112.0</v>
      </c>
      <c r="C450" s="216">
        <v>1065.0</v>
      </c>
      <c r="D450" s="217">
        <v>20.0</v>
      </c>
      <c r="E450" s="219" t="s">
        <v>242</v>
      </c>
      <c r="F450" s="219" t="s">
        <v>362</v>
      </c>
      <c r="G450" s="214" t="s">
        <v>405</v>
      </c>
      <c r="H450" s="221">
        <v>44739.0</v>
      </c>
      <c r="I450" s="219" t="s">
        <v>910</v>
      </c>
      <c r="J450" s="219" t="s">
        <v>117</v>
      </c>
      <c r="K450" s="219" t="s">
        <v>508</v>
      </c>
      <c r="L450" s="214" t="s">
        <v>458</v>
      </c>
      <c r="M450" s="222">
        <v>2022.0</v>
      </c>
      <c r="N450" s="214" t="s">
        <v>396</v>
      </c>
      <c r="O450" s="223">
        <v>2.0</v>
      </c>
      <c r="P450" s="224">
        <f t="shared" si="1"/>
        <v>0.3422236504</v>
      </c>
      <c r="Q450" s="214" t="str">
        <f t="shared" si="2"/>
        <v>Medium</v>
      </c>
    </row>
    <row r="451" ht="15.75" customHeight="1">
      <c r="A451" s="214" t="s">
        <v>911</v>
      </c>
      <c r="B451" s="216">
        <v>7838.0</v>
      </c>
      <c r="C451" s="216">
        <v>1142.0</v>
      </c>
      <c r="D451" s="217">
        <v>13.0</v>
      </c>
      <c r="E451" s="219" t="s">
        <v>157</v>
      </c>
      <c r="F451" s="219" t="s">
        <v>358</v>
      </c>
      <c r="G451" s="214" t="s">
        <v>392</v>
      </c>
      <c r="H451" s="221">
        <v>44245.0</v>
      </c>
      <c r="I451" s="219" t="s">
        <v>912</v>
      </c>
      <c r="J451" s="219" t="s">
        <v>117</v>
      </c>
      <c r="K451" s="219" t="s">
        <v>508</v>
      </c>
      <c r="L451" s="214" t="s">
        <v>439</v>
      </c>
      <c r="M451" s="222">
        <v>2021.0</v>
      </c>
      <c r="N451" s="214" t="s">
        <v>494</v>
      </c>
      <c r="O451" s="223">
        <v>1.0</v>
      </c>
      <c r="P451" s="224">
        <f t="shared" si="1"/>
        <v>0.1457004338</v>
      </c>
      <c r="Q451" s="214" t="str">
        <f t="shared" si="2"/>
        <v>High</v>
      </c>
    </row>
    <row r="452" ht="15.75" customHeight="1">
      <c r="A452" s="214" t="s">
        <v>911</v>
      </c>
      <c r="B452" s="216">
        <v>9300.0</v>
      </c>
      <c r="C452" s="216">
        <v>3146.0</v>
      </c>
      <c r="D452" s="217">
        <v>6.0</v>
      </c>
      <c r="E452" s="219" t="s">
        <v>157</v>
      </c>
      <c r="F452" s="219" t="s">
        <v>358</v>
      </c>
      <c r="G452" s="214" t="s">
        <v>350</v>
      </c>
      <c r="H452" s="221">
        <v>44245.0</v>
      </c>
      <c r="I452" s="219" t="s">
        <v>912</v>
      </c>
      <c r="J452" s="219" t="s">
        <v>117</v>
      </c>
      <c r="K452" s="219" t="s">
        <v>508</v>
      </c>
      <c r="L452" s="214" t="s">
        <v>439</v>
      </c>
      <c r="M452" s="222">
        <v>2021.0</v>
      </c>
      <c r="N452" s="214" t="s">
        <v>494</v>
      </c>
      <c r="O452" s="223">
        <v>1.0</v>
      </c>
      <c r="P452" s="224">
        <f t="shared" si="1"/>
        <v>0.3382795699</v>
      </c>
      <c r="Q452" s="214" t="str">
        <f t="shared" si="2"/>
        <v>High</v>
      </c>
    </row>
    <row r="453" ht="15.75" customHeight="1">
      <c r="A453" s="214" t="s">
        <v>911</v>
      </c>
      <c r="B453" s="216">
        <v>1733.0</v>
      </c>
      <c r="C453" s="216">
        <v>133.0</v>
      </c>
      <c r="D453" s="217">
        <v>17.0</v>
      </c>
      <c r="E453" s="219" t="s">
        <v>242</v>
      </c>
      <c r="F453" s="219" t="s">
        <v>357</v>
      </c>
      <c r="G453" s="214" t="s">
        <v>351</v>
      </c>
      <c r="H453" s="221">
        <v>44245.0</v>
      </c>
      <c r="I453" s="219" t="s">
        <v>912</v>
      </c>
      <c r="J453" s="219" t="s">
        <v>117</v>
      </c>
      <c r="K453" s="219" t="s">
        <v>508</v>
      </c>
      <c r="L453" s="214" t="s">
        <v>439</v>
      </c>
      <c r="M453" s="222">
        <v>2021.0</v>
      </c>
      <c r="N453" s="214" t="s">
        <v>494</v>
      </c>
      <c r="O453" s="223">
        <v>1.0</v>
      </c>
      <c r="P453" s="224">
        <f t="shared" si="1"/>
        <v>0.07674552799</v>
      </c>
      <c r="Q453" s="214" t="str">
        <f t="shared" si="2"/>
        <v>Medium</v>
      </c>
    </row>
    <row r="454" ht="15.75" customHeight="1">
      <c r="A454" s="214" t="s">
        <v>913</v>
      </c>
      <c r="B454" s="216">
        <v>874.0</v>
      </c>
      <c r="C454" s="216">
        <v>235.0</v>
      </c>
      <c r="D454" s="217">
        <v>15.0</v>
      </c>
      <c r="E454" s="219" t="s">
        <v>242</v>
      </c>
      <c r="F454" s="219" t="s">
        <v>362</v>
      </c>
      <c r="G454" s="214" t="s">
        <v>351</v>
      </c>
      <c r="H454" s="221">
        <v>45075.0</v>
      </c>
      <c r="I454" s="219" t="s">
        <v>914</v>
      </c>
      <c r="J454" s="219" t="s">
        <v>223</v>
      </c>
      <c r="K454" s="219" t="s">
        <v>473</v>
      </c>
      <c r="L454" s="214" t="s">
        <v>469</v>
      </c>
      <c r="M454" s="222">
        <v>2023.0</v>
      </c>
      <c r="N454" s="214" t="s">
        <v>411</v>
      </c>
      <c r="O454" s="223">
        <v>2.0</v>
      </c>
      <c r="P454" s="224">
        <f t="shared" si="1"/>
        <v>0.2688787185</v>
      </c>
      <c r="Q454" s="214" t="str">
        <f t="shared" si="2"/>
        <v>Medium</v>
      </c>
    </row>
    <row r="455" ht="15.75" customHeight="1">
      <c r="A455" s="214" t="s">
        <v>913</v>
      </c>
      <c r="B455" s="216">
        <v>874.0</v>
      </c>
      <c r="C455" s="216">
        <v>235.0</v>
      </c>
      <c r="D455" s="217">
        <v>15.0</v>
      </c>
      <c r="E455" s="219" t="s">
        <v>242</v>
      </c>
      <c r="F455" s="219" t="s">
        <v>362</v>
      </c>
      <c r="G455" s="214" t="s">
        <v>351</v>
      </c>
      <c r="H455" s="221">
        <v>44351.0</v>
      </c>
      <c r="I455" s="219" t="s">
        <v>915</v>
      </c>
      <c r="J455" s="219" t="s">
        <v>159</v>
      </c>
      <c r="K455" s="219" t="s">
        <v>394</v>
      </c>
      <c r="L455" s="214" t="s">
        <v>444</v>
      </c>
      <c r="M455" s="222">
        <v>2021.0</v>
      </c>
      <c r="N455" s="214" t="s">
        <v>396</v>
      </c>
      <c r="O455" s="223">
        <v>2.0</v>
      </c>
      <c r="P455" s="224">
        <f t="shared" si="1"/>
        <v>0.2688787185</v>
      </c>
      <c r="Q455" s="214" t="str">
        <f t="shared" si="2"/>
        <v>Medium</v>
      </c>
    </row>
    <row r="456" ht="15.75" customHeight="1">
      <c r="A456" s="214" t="s">
        <v>916</v>
      </c>
      <c r="B456" s="216">
        <v>1248.0</v>
      </c>
      <c r="C456" s="216">
        <v>584.0</v>
      </c>
      <c r="D456" s="217">
        <v>13.0</v>
      </c>
      <c r="E456" s="219" t="s">
        <v>242</v>
      </c>
      <c r="F456" s="219" t="s">
        <v>356</v>
      </c>
      <c r="G456" s="214" t="s">
        <v>406</v>
      </c>
      <c r="H456" s="221">
        <v>45313.0</v>
      </c>
      <c r="I456" s="219" t="s">
        <v>917</v>
      </c>
      <c r="J456" s="219" t="s">
        <v>313</v>
      </c>
      <c r="K456" s="219" t="s">
        <v>512</v>
      </c>
      <c r="L456" s="214" t="s">
        <v>477</v>
      </c>
      <c r="M456" s="222">
        <v>2024.0</v>
      </c>
      <c r="N456" s="214" t="s">
        <v>497</v>
      </c>
      <c r="O456" s="223">
        <v>1.0</v>
      </c>
      <c r="P456" s="224">
        <f t="shared" si="1"/>
        <v>0.4679487179</v>
      </c>
      <c r="Q456" s="214" t="str">
        <f t="shared" si="2"/>
        <v>Medium</v>
      </c>
    </row>
    <row r="457" ht="15.75" customHeight="1">
      <c r="A457" s="214" t="s">
        <v>916</v>
      </c>
      <c r="B457" s="216">
        <v>1248.0</v>
      </c>
      <c r="C457" s="216">
        <v>584.0</v>
      </c>
      <c r="D457" s="217">
        <v>13.0</v>
      </c>
      <c r="E457" s="219" t="s">
        <v>242</v>
      </c>
      <c r="F457" s="219" t="s">
        <v>356</v>
      </c>
      <c r="G457" s="214" t="s">
        <v>406</v>
      </c>
      <c r="H457" s="221">
        <v>44922.0</v>
      </c>
      <c r="I457" s="219" t="s">
        <v>918</v>
      </c>
      <c r="J457" s="219" t="s">
        <v>117</v>
      </c>
      <c r="K457" s="219" t="s">
        <v>508</v>
      </c>
      <c r="L457" s="214" t="s">
        <v>464</v>
      </c>
      <c r="M457" s="222">
        <v>2022.0</v>
      </c>
      <c r="N457" s="214" t="s">
        <v>400</v>
      </c>
      <c r="O457" s="223">
        <v>4.0</v>
      </c>
      <c r="P457" s="224">
        <f t="shared" si="1"/>
        <v>0.4679487179</v>
      </c>
      <c r="Q457" s="214" t="str">
        <f t="shared" si="2"/>
        <v>Medium</v>
      </c>
    </row>
    <row r="458" ht="15.75" customHeight="1">
      <c r="A458" s="214" t="s">
        <v>916</v>
      </c>
      <c r="B458" s="216">
        <v>3669.0</v>
      </c>
      <c r="C458" s="216">
        <v>154.0</v>
      </c>
      <c r="D458" s="217">
        <v>14.0</v>
      </c>
      <c r="E458" s="219" t="s">
        <v>242</v>
      </c>
      <c r="F458" s="219" t="s">
        <v>317</v>
      </c>
      <c r="G458" s="214" t="s">
        <v>406</v>
      </c>
      <c r="H458" s="221">
        <v>45313.0</v>
      </c>
      <c r="I458" s="219" t="s">
        <v>917</v>
      </c>
      <c r="J458" s="219" t="s">
        <v>313</v>
      </c>
      <c r="K458" s="219" t="s">
        <v>512</v>
      </c>
      <c r="L458" s="214" t="s">
        <v>477</v>
      </c>
      <c r="M458" s="222">
        <v>2024.0</v>
      </c>
      <c r="N458" s="214" t="s">
        <v>497</v>
      </c>
      <c r="O458" s="223">
        <v>1.0</v>
      </c>
      <c r="P458" s="224">
        <f t="shared" si="1"/>
        <v>0.04197328972</v>
      </c>
      <c r="Q458" s="214" t="str">
        <f t="shared" si="2"/>
        <v>Medium</v>
      </c>
    </row>
    <row r="459" ht="15.75" customHeight="1">
      <c r="A459" s="214" t="s">
        <v>916</v>
      </c>
      <c r="B459" s="216">
        <v>3669.0</v>
      </c>
      <c r="C459" s="216">
        <v>154.0</v>
      </c>
      <c r="D459" s="217">
        <v>14.0</v>
      </c>
      <c r="E459" s="219" t="s">
        <v>242</v>
      </c>
      <c r="F459" s="219" t="s">
        <v>317</v>
      </c>
      <c r="G459" s="214" t="s">
        <v>406</v>
      </c>
      <c r="H459" s="221">
        <v>44922.0</v>
      </c>
      <c r="I459" s="219" t="s">
        <v>918</v>
      </c>
      <c r="J459" s="219" t="s">
        <v>117</v>
      </c>
      <c r="K459" s="219" t="s">
        <v>508</v>
      </c>
      <c r="L459" s="214" t="s">
        <v>464</v>
      </c>
      <c r="M459" s="222">
        <v>2022.0</v>
      </c>
      <c r="N459" s="214" t="s">
        <v>400</v>
      </c>
      <c r="O459" s="223">
        <v>4.0</v>
      </c>
      <c r="P459" s="224">
        <f t="shared" si="1"/>
        <v>0.04197328972</v>
      </c>
      <c r="Q459" s="214" t="str">
        <f t="shared" si="2"/>
        <v>Medium</v>
      </c>
    </row>
    <row r="460" ht="15.75" customHeight="1">
      <c r="A460" s="214" t="s">
        <v>916</v>
      </c>
      <c r="B460" s="216">
        <v>514.0</v>
      </c>
      <c r="C460" s="216">
        <v>109.0</v>
      </c>
      <c r="D460" s="217">
        <v>15.0</v>
      </c>
      <c r="E460" s="219" t="s">
        <v>242</v>
      </c>
      <c r="F460" s="219" t="s">
        <v>357</v>
      </c>
      <c r="G460" s="214" t="s">
        <v>351</v>
      </c>
      <c r="H460" s="221">
        <v>45313.0</v>
      </c>
      <c r="I460" s="219" t="s">
        <v>917</v>
      </c>
      <c r="J460" s="219" t="s">
        <v>313</v>
      </c>
      <c r="K460" s="219" t="s">
        <v>512</v>
      </c>
      <c r="L460" s="214" t="s">
        <v>477</v>
      </c>
      <c r="M460" s="222">
        <v>2024.0</v>
      </c>
      <c r="N460" s="214" t="s">
        <v>497</v>
      </c>
      <c r="O460" s="223">
        <v>1.0</v>
      </c>
      <c r="P460" s="224">
        <f t="shared" si="1"/>
        <v>0.2120622568</v>
      </c>
      <c r="Q460" s="214" t="str">
        <f t="shared" si="2"/>
        <v>Medium</v>
      </c>
    </row>
    <row r="461" ht="15.75" customHeight="1">
      <c r="A461" s="214" t="s">
        <v>916</v>
      </c>
      <c r="B461" s="216">
        <v>514.0</v>
      </c>
      <c r="C461" s="216">
        <v>109.0</v>
      </c>
      <c r="D461" s="217">
        <v>15.0</v>
      </c>
      <c r="E461" s="219" t="s">
        <v>242</v>
      </c>
      <c r="F461" s="219" t="s">
        <v>357</v>
      </c>
      <c r="G461" s="214" t="s">
        <v>351</v>
      </c>
      <c r="H461" s="221">
        <v>44922.0</v>
      </c>
      <c r="I461" s="219" t="s">
        <v>918</v>
      </c>
      <c r="J461" s="219" t="s">
        <v>117</v>
      </c>
      <c r="K461" s="219" t="s">
        <v>508</v>
      </c>
      <c r="L461" s="214" t="s">
        <v>464</v>
      </c>
      <c r="M461" s="222">
        <v>2022.0</v>
      </c>
      <c r="N461" s="214" t="s">
        <v>400</v>
      </c>
      <c r="O461" s="223">
        <v>4.0</v>
      </c>
      <c r="P461" s="224">
        <f t="shared" si="1"/>
        <v>0.2120622568</v>
      </c>
      <c r="Q461" s="214" t="str">
        <f t="shared" si="2"/>
        <v>Medium</v>
      </c>
    </row>
    <row r="462" ht="15.75" customHeight="1">
      <c r="A462" s="214" t="s">
        <v>919</v>
      </c>
      <c r="B462" s="216">
        <v>3273.0</v>
      </c>
      <c r="C462" s="216">
        <v>85.0</v>
      </c>
      <c r="D462" s="217">
        <v>16.0</v>
      </c>
      <c r="E462" s="219" t="s">
        <v>157</v>
      </c>
      <c r="F462" s="219" t="s">
        <v>358</v>
      </c>
      <c r="G462" s="214" t="s">
        <v>392</v>
      </c>
      <c r="H462" s="221">
        <v>45381.0</v>
      </c>
      <c r="I462" s="219" t="s">
        <v>920</v>
      </c>
      <c r="J462" s="219" t="s">
        <v>313</v>
      </c>
      <c r="K462" s="219" t="s">
        <v>518</v>
      </c>
      <c r="L462" s="214" t="s">
        <v>479</v>
      </c>
      <c r="M462" s="222">
        <v>2024.0</v>
      </c>
      <c r="N462" s="214" t="s">
        <v>433</v>
      </c>
      <c r="O462" s="223">
        <v>1.0</v>
      </c>
      <c r="P462" s="224">
        <f t="shared" si="1"/>
        <v>0.02597005805</v>
      </c>
      <c r="Q462" s="214" t="str">
        <f t="shared" si="2"/>
        <v>Medium</v>
      </c>
    </row>
    <row r="463" ht="15.75" customHeight="1">
      <c r="A463" s="214" t="s">
        <v>921</v>
      </c>
      <c r="B463" s="216">
        <v>5035.0</v>
      </c>
      <c r="C463" s="216">
        <v>2008.0</v>
      </c>
      <c r="D463" s="217">
        <v>2.0</v>
      </c>
      <c r="E463" s="219" t="s">
        <v>216</v>
      </c>
      <c r="F463" s="219" t="s">
        <v>359</v>
      </c>
      <c r="G463" s="214" t="s">
        <v>405</v>
      </c>
      <c r="H463" s="221">
        <v>43925.0</v>
      </c>
      <c r="I463" s="219" t="s">
        <v>922</v>
      </c>
      <c r="J463" s="219" t="s">
        <v>159</v>
      </c>
      <c r="K463" s="219" t="s">
        <v>394</v>
      </c>
      <c r="L463" s="214" t="s">
        <v>418</v>
      </c>
      <c r="M463" s="222">
        <v>2020.0</v>
      </c>
      <c r="N463" s="214" t="s">
        <v>542</v>
      </c>
      <c r="O463" s="223">
        <v>2.0</v>
      </c>
      <c r="P463" s="224">
        <f t="shared" si="1"/>
        <v>0.3988083416</v>
      </c>
      <c r="Q463" s="214" t="str">
        <f t="shared" si="2"/>
        <v>High</v>
      </c>
    </row>
    <row r="464" ht="15.75" customHeight="1">
      <c r="A464" s="214" t="s">
        <v>921</v>
      </c>
      <c r="B464" s="216">
        <v>7702.0</v>
      </c>
      <c r="C464" s="216">
        <v>60.0</v>
      </c>
      <c r="D464" s="217">
        <v>19.0</v>
      </c>
      <c r="E464" s="219" t="s">
        <v>157</v>
      </c>
      <c r="F464" s="219" t="s">
        <v>354</v>
      </c>
      <c r="G464" s="214" t="s">
        <v>392</v>
      </c>
      <c r="H464" s="221">
        <v>43925.0</v>
      </c>
      <c r="I464" s="219" t="s">
        <v>922</v>
      </c>
      <c r="J464" s="219" t="s">
        <v>159</v>
      </c>
      <c r="K464" s="219" t="s">
        <v>394</v>
      </c>
      <c r="L464" s="214" t="s">
        <v>418</v>
      </c>
      <c r="M464" s="222">
        <v>2020.0</v>
      </c>
      <c r="N464" s="214" t="s">
        <v>542</v>
      </c>
      <c r="O464" s="223">
        <v>2.0</v>
      </c>
      <c r="P464" s="224">
        <f t="shared" si="1"/>
        <v>0.007790184368</v>
      </c>
      <c r="Q464" s="214" t="str">
        <f t="shared" si="2"/>
        <v>High</v>
      </c>
    </row>
    <row r="465" ht="15.75" customHeight="1">
      <c r="A465" s="214" t="s">
        <v>921</v>
      </c>
      <c r="B465" s="216">
        <v>9884.0</v>
      </c>
      <c r="C465" s="216">
        <v>4446.0</v>
      </c>
      <c r="D465" s="217">
        <v>7.0</v>
      </c>
      <c r="E465" s="219" t="s">
        <v>157</v>
      </c>
      <c r="F465" s="219" t="s">
        <v>354</v>
      </c>
      <c r="G465" s="214" t="s">
        <v>406</v>
      </c>
      <c r="H465" s="221">
        <v>43925.0</v>
      </c>
      <c r="I465" s="219" t="s">
        <v>922</v>
      </c>
      <c r="J465" s="219" t="s">
        <v>159</v>
      </c>
      <c r="K465" s="219" t="s">
        <v>394</v>
      </c>
      <c r="L465" s="214" t="s">
        <v>418</v>
      </c>
      <c r="M465" s="222">
        <v>2020.0</v>
      </c>
      <c r="N465" s="214" t="s">
        <v>542</v>
      </c>
      <c r="O465" s="223">
        <v>2.0</v>
      </c>
      <c r="P465" s="224">
        <f t="shared" si="1"/>
        <v>0.4498178875</v>
      </c>
      <c r="Q465" s="214" t="str">
        <f t="shared" si="2"/>
        <v>High</v>
      </c>
    </row>
    <row r="466" ht="15.75" customHeight="1">
      <c r="A466" s="214" t="s">
        <v>923</v>
      </c>
      <c r="B466" s="216">
        <v>5564.0</v>
      </c>
      <c r="C466" s="216">
        <v>175.0</v>
      </c>
      <c r="D466" s="217">
        <v>11.0</v>
      </c>
      <c r="E466" s="219" t="s">
        <v>157</v>
      </c>
      <c r="F466" s="219" t="s">
        <v>360</v>
      </c>
      <c r="G466" s="214" t="s">
        <v>405</v>
      </c>
      <c r="H466" s="221">
        <v>44948.0</v>
      </c>
      <c r="I466" s="219" t="s">
        <v>924</v>
      </c>
      <c r="J466" s="219" t="s">
        <v>271</v>
      </c>
      <c r="K466" s="219" t="s">
        <v>398</v>
      </c>
      <c r="L466" s="214" t="s">
        <v>465</v>
      </c>
      <c r="M466" s="222">
        <v>2023.0</v>
      </c>
      <c r="N466" s="214" t="s">
        <v>497</v>
      </c>
      <c r="O466" s="223">
        <v>1.0</v>
      </c>
      <c r="P466" s="224">
        <f t="shared" si="1"/>
        <v>0.03145219267</v>
      </c>
      <c r="Q466" s="214" t="str">
        <f t="shared" si="2"/>
        <v>High</v>
      </c>
    </row>
    <row r="467" ht="15.75" customHeight="1">
      <c r="A467" s="214" t="s">
        <v>923</v>
      </c>
      <c r="B467" s="216">
        <v>5564.0</v>
      </c>
      <c r="C467" s="216">
        <v>175.0</v>
      </c>
      <c r="D467" s="217">
        <v>11.0</v>
      </c>
      <c r="E467" s="219" t="s">
        <v>157</v>
      </c>
      <c r="F467" s="219" t="s">
        <v>360</v>
      </c>
      <c r="G467" s="214" t="s">
        <v>405</v>
      </c>
      <c r="H467" s="221">
        <v>44663.0</v>
      </c>
      <c r="I467" s="219" t="s">
        <v>925</v>
      </c>
      <c r="J467" s="219" t="s">
        <v>241</v>
      </c>
      <c r="K467" s="219" t="s">
        <v>541</v>
      </c>
      <c r="L467" s="214" t="s">
        <v>456</v>
      </c>
      <c r="M467" s="222">
        <v>2022.0</v>
      </c>
      <c r="N467" s="214" t="s">
        <v>542</v>
      </c>
      <c r="O467" s="223">
        <v>2.0</v>
      </c>
      <c r="P467" s="224">
        <f t="shared" si="1"/>
        <v>0.03145219267</v>
      </c>
      <c r="Q467" s="214" t="str">
        <f t="shared" si="2"/>
        <v>High</v>
      </c>
    </row>
    <row r="468" ht="15.75" customHeight="1">
      <c r="A468" s="214" t="s">
        <v>923</v>
      </c>
      <c r="B468" s="216">
        <v>5564.0</v>
      </c>
      <c r="C468" s="216">
        <v>175.0</v>
      </c>
      <c r="D468" s="217">
        <v>11.0</v>
      </c>
      <c r="E468" s="219" t="s">
        <v>157</v>
      </c>
      <c r="F468" s="219" t="s">
        <v>360</v>
      </c>
      <c r="G468" s="214" t="s">
        <v>405</v>
      </c>
      <c r="H468" s="221">
        <v>45273.0</v>
      </c>
      <c r="I468" s="219" t="s">
        <v>926</v>
      </c>
      <c r="J468" s="219" t="s">
        <v>159</v>
      </c>
      <c r="K468" s="219" t="s">
        <v>394</v>
      </c>
      <c r="L468" s="214" t="s">
        <v>476</v>
      </c>
      <c r="M468" s="222">
        <v>2023.0</v>
      </c>
      <c r="N468" s="214" t="s">
        <v>400</v>
      </c>
      <c r="O468" s="223">
        <v>4.0</v>
      </c>
      <c r="P468" s="224">
        <f t="shared" si="1"/>
        <v>0.03145219267</v>
      </c>
      <c r="Q468" s="214" t="str">
        <f t="shared" si="2"/>
        <v>High</v>
      </c>
    </row>
    <row r="469" ht="15.75" customHeight="1">
      <c r="A469" s="214" t="s">
        <v>923</v>
      </c>
      <c r="B469" s="216">
        <v>3953.0</v>
      </c>
      <c r="C469" s="216">
        <v>1776.0</v>
      </c>
      <c r="D469" s="217">
        <v>15.0</v>
      </c>
      <c r="E469" s="219" t="s">
        <v>157</v>
      </c>
      <c r="F469" s="219" t="s">
        <v>355</v>
      </c>
      <c r="G469" s="214" t="s">
        <v>392</v>
      </c>
      <c r="H469" s="221">
        <v>44948.0</v>
      </c>
      <c r="I469" s="219" t="s">
        <v>924</v>
      </c>
      <c r="J469" s="219" t="s">
        <v>271</v>
      </c>
      <c r="K469" s="219" t="s">
        <v>398</v>
      </c>
      <c r="L469" s="214" t="s">
        <v>465</v>
      </c>
      <c r="M469" s="222">
        <v>2023.0</v>
      </c>
      <c r="N469" s="214" t="s">
        <v>497</v>
      </c>
      <c r="O469" s="223">
        <v>1.0</v>
      </c>
      <c r="P469" s="224">
        <f t="shared" si="1"/>
        <v>0.4492790286</v>
      </c>
      <c r="Q469" s="214" t="str">
        <f t="shared" si="2"/>
        <v>Medium</v>
      </c>
    </row>
    <row r="470" ht="15.75" customHeight="1">
      <c r="A470" s="214" t="s">
        <v>923</v>
      </c>
      <c r="B470" s="216">
        <v>3953.0</v>
      </c>
      <c r="C470" s="216">
        <v>1776.0</v>
      </c>
      <c r="D470" s="217">
        <v>15.0</v>
      </c>
      <c r="E470" s="219" t="s">
        <v>157</v>
      </c>
      <c r="F470" s="219" t="s">
        <v>355</v>
      </c>
      <c r="G470" s="214" t="s">
        <v>392</v>
      </c>
      <c r="H470" s="221">
        <v>44663.0</v>
      </c>
      <c r="I470" s="219" t="s">
        <v>925</v>
      </c>
      <c r="J470" s="219" t="s">
        <v>241</v>
      </c>
      <c r="K470" s="219" t="s">
        <v>541</v>
      </c>
      <c r="L470" s="214" t="s">
        <v>456</v>
      </c>
      <c r="M470" s="222">
        <v>2022.0</v>
      </c>
      <c r="N470" s="214" t="s">
        <v>542</v>
      </c>
      <c r="O470" s="223">
        <v>2.0</v>
      </c>
      <c r="P470" s="224">
        <f t="shared" si="1"/>
        <v>0.4492790286</v>
      </c>
      <c r="Q470" s="214" t="str">
        <f t="shared" si="2"/>
        <v>Medium</v>
      </c>
    </row>
    <row r="471" ht="15.75" customHeight="1">
      <c r="A471" s="214" t="s">
        <v>923</v>
      </c>
      <c r="B471" s="216">
        <v>3953.0</v>
      </c>
      <c r="C471" s="216">
        <v>1776.0</v>
      </c>
      <c r="D471" s="217">
        <v>15.0</v>
      </c>
      <c r="E471" s="219" t="s">
        <v>157</v>
      </c>
      <c r="F471" s="219" t="s">
        <v>355</v>
      </c>
      <c r="G471" s="214" t="s">
        <v>392</v>
      </c>
      <c r="H471" s="221">
        <v>45273.0</v>
      </c>
      <c r="I471" s="219" t="s">
        <v>926</v>
      </c>
      <c r="J471" s="219" t="s">
        <v>159</v>
      </c>
      <c r="K471" s="219" t="s">
        <v>394</v>
      </c>
      <c r="L471" s="214" t="s">
        <v>476</v>
      </c>
      <c r="M471" s="222">
        <v>2023.0</v>
      </c>
      <c r="N471" s="214" t="s">
        <v>400</v>
      </c>
      <c r="O471" s="223">
        <v>4.0</v>
      </c>
      <c r="P471" s="224">
        <f t="shared" si="1"/>
        <v>0.4492790286</v>
      </c>
      <c r="Q471" s="214" t="str">
        <f t="shared" si="2"/>
        <v>Medium</v>
      </c>
    </row>
    <row r="472" ht="15.75" customHeight="1">
      <c r="A472" s="214" t="s">
        <v>927</v>
      </c>
      <c r="B472" s="216">
        <v>6488.0</v>
      </c>
      <c r="C472" s="216">
        <v>1591.0</v>
      </c>
      <c r="D472" s="217">
        <v>18.0</v>
      </c>
      <c r="E472" s="219" t="s">
        <v>157</v>
      </c>
      <c r="F472" s="219" t="s">
        <v>354</v>
      </c>
      <c r="G472" s="214" t="s">
        <v>406</v>
      </c>
      <c r="H472" s="221">
        <v>45070.0</v>
      </c>
      <c r="I472" s="219" t="s">
        <v>928</v>
      </c>
      <c r="J472" s="219" t="s">
        <v>241</v>
      </c>
      <c r="K472" s="219" t="s">
        <v>493</v>
      </c>
      <c r="L472" s="214" t="s">
        <v>469</v>
      </c>
      <c r="M472" s="222">
        <v>2023.0</v>
      </c>
      <c r="N472" s="214" t="s">
        <v>411</v>
      </c>
      <c r="O472" s="223">
        <v>2.0</v>
      </c>
      <c r="P472" s="224">
        <f t="shared" si="1"/>
        <v>0.2452219482</v>
      </c>
      <c r="Q472" s="214" t="str">
        <f t="shared" si="2"/>
        <v>High</v>
      </c>
    </row>
    <row r="473" ht="15.75" customHeight="1">
      <c r="A473" s="214" t="s">
        <v>927</v>
      </c>
      <c r="B473" s="216">
        <v>6488.0</v>
      </c>
      <c r="C473" s="216">
        <v>1591.0</v>
      </c>
      <c r="D473" s="217">
        <v>18.0</v>
      </c>
      <c r="E473" s="219" t="s">
        <v>157</v>
      </c>
      <c r="F473" s="219" t="s">
        <v>354</v>
      </c>
      <c r="G473" s="214" t="s">
        <v>406</v>
      </c>
      <c r="H473" s="221">
        <v>44164.0</v>
      </c>
      <c r="I473" s="219" t="s">
        <v>929</v>
      </c>
      <c r="J473" s="219" t="s">
        <v>241</v>
      </c>
      <c r="K473" s="219" t="s">
        <v>541</v>
      </c>
      <c r="L473" s="214" t="s">
        <v>436</v>
      </c>
      <c r="M473" s="222">
        <v>2020.0</v>
      </c>
      <c r="N473" s="214" t="s">
        <v>425</v>
      </c>
      <c r="O473" s="223">
        <v>4.0</v>
      </c>
      <c r="P473" s="224">
        <f t="shared" si="1"/>
        <v>0.2452219482</v>
      </c>
      <c r="Q473" s="214" t="str">
        <f t="shared" si="2"/>
        <v>High</v>
      </c>
    </row>
    <row r="474" ht="15.75" customHeight="1">
      <c r="A474" s="214" t="s">
        <v>930</v>
      </c>
      <c r="B474" s="216">
        <v>7856.0</v>
      </c>
      <c r="C474" s="216">
        <v>3699.0</v>
      </c>
      <c r="D474" s="217">
        <v>17.0</v>
      </c>
      <c r="E474" s="219" t="s">
        <v>157</v>
      </c>
      <c r="F474" s="219" t="s">
        <v>355</v>
      </c>
      <c r="G474" s="214" t="s">
        <v>392</v>
      </c>
      <c r="H474" s="221">
        <v>44279.0</v>
      </c>
      <c r="I474" s="219" t="s">
        <v>931</v>
      </c>
      <c r="J474" s="219" t="s">
        <v>159</v>
      </c>
      <c r="K474" s="219" t="s">
        <v>409</v>
      </c>
      <c r="L474" s="214" t="s">
        <v>440</v>
      </c>
      <c r="M474" s="222">
        <v>2021.0</v>
      </c>
      <c r="N474" s="214" t="s">
        <v>433</v>
      </c>
      <c r="O474" s="223">
        <v>1.0</v>
      </c>
      <c r="P474" s="224">
        <f t="shared" si="1"/>
        <v>0.4708503055</v>
      </c>
      <c r="Q474" s="214" t="str">
        <f t="shared" si="2"/>
        <v>High</v>
      </c>
    </row>
    <row r="475" ht="15.75" customHeight="1">
      <c r="A475" s="214" t="s">
        <v>930</v>
      </c>
      <c r="B475" s="216">
        <v>1165.0</v>
      </c>
      <c r="C475" s="216">
        <v>51.0</v>
      </c>
      <c r="D475" s="217">
        <v>3.0</v>
      </c>
      <c r="E475" s="219" t="s">
        <v>242</v>
      </c>
      <c r="F475" s="219" t="s">
        <v>356</v>
      </c>
      <c r="G475" s="214" t="s">
        <v>406</v>
      </c>
      <c r="H475" s="221">
        <v>44279.0</v>
      </c>
      <c r="I475" s="219" t="s">
        <v>931</v>
      </c>
      <c r="J475" s="219" t="s">
        <v>159</v>
      </c>
      <c r="K475" s="219" t="s">
        <v>409</v>
      </c>
      <c r="L475" s="214" t="s">
        <v>440</v>
      </c>
      <c r="M475" s="222">
        <v>2021.0</v>
      </c>
      <c r="N475" s="214" t="s">
        <v>433</v>
      </c>
      <c r="O475" s="223">
        <v>1.0</v>
      </c>
      <c r="P475" s="224">
        <f t="shared" si="1"/>
        <v>0.04377682403</v>
      </c>
      <c r="Q475" s="214" t="str">
        <f t="shared" si="2"/>
        <v>Medium</v>
      </c>
    </row>
    <row r="476" ht="15.75" customHeight="1">
      <c r="A476" s="214" t="s">
        <v>932</v>
      </c>
      <c r="B476" s="216">
        <v>9386.0</v>
      </c>
      <c r="C476" s="216">
        <v>2555.0</v>
      </c>
      <c r="D476" s="217">
        <v>20.0</v>
      </c>
      <c r="E476" s="219" t="s">
        <v>242</v>
      </c>
      <c r="F476" s="219" t="s">
        <v>317</v>
      </c>
      <c r="G476" s="214" t="s">
        <v>350</v>
      </c>
      <c r="H476" s="221">
        <v>44062.0</v>
      </c>
      <c r="I476" s="219" t="s">
        <v>933</v>
      </c>
      <c r="J476" s="219" t="s">
        <v>117</v>
      </c>
      <c r="K476" s="219" t="s">
        <v>496</v>
      </c>
      <c r="L476" s="214" t="s">
        <v>431</v>
      </c>
      <c r="M476" s="222">
        <v>2020.0</v>
      </c>
      <c r="N476" s="214" t="s">
        <v>523</v>
      </c>
      <c r="O476" s="223">
        <v>3.0</v>
      </c>
      <c r="P476" s="224">
        <f t="shared" si="1"/>
        <v>0.2722139356</v>
      </c>
      <c r="Q476" s="214" t="str">
        <f t="shared" si="2"/>
        <v>High</v>
      </c>
    </row>
    <row r="477" ht="15.75" customHeight="1">
      <c r="A477" s="214" t="s">
        <v>932</v>
      </c>
      <c r="B477" s="216">
        <v>9386.0</v>
      </c>
      <c r="C477" s="216">
        <v>2555.0</v>
      </c>
      <c r="D477" s="217">
        <v>20.0</v>
      </c>
      <c r="E477" s="219" t="s">
        <v>242</v>
      </c>
      <c r="F477" s="219" t="s">
        <v>317</v>
      </c>
      <c r="G477" s="214" t="s">
        <v>350</v>
      </c>
      <c r="H477" s="221">
        <v>44854.0</v>
      </c>
      <c r="I477" s="219" t="s">
        <v>934</v>
      </c>
      <c r="J477" s="219" t="s">
        <v>313</v>
      </c>
      <c r="K477" s="219" t="s">
        <v>526</v>
      </c>
      <c r="L477" s="214" t="s">
        <v>463</v>
      </c>
      <c r="M477" s="222">
        <v>2022.0</v>
      </c>
      <c r="N477" s="214" t="s">
        <v>414</v>
      </c>
      <c r="O477" s="223">
        <v>4.0</v>
      </c>
      <c r="P477" s="224">
        <f t="shared" si="1"/>
        <v>0.2722139356</v>
      </c>
      <c r="Q477" s="214" t="str">
        <f t="shared" si="2"/>
        <v>High</v>
      </c>
    </row>
    <row r="478" ht="15.75" customHeight="1">
      <c r="A478" s="214" t="s">
        <v>935</v>
      </c>
      <c r="B478" s="216">
        <v>3956.0</v>
      </c>
      <c r="C478" s="216">
        <v>142.0</v>
      </c>
      <c r="D478" s="217">
        <v>12.0</v>
      </c>
      <c r="E478" s="219" t="s">
        <v>242</v>
      </c>
      <c r="F478" s="219" t="s">
        <v>356</v>
      </c>
      <c r="G478" s="214" t="s">
        <v>351</v>
      </c>
      <c r="H478" s="221">
        <v>45189.0</v>
      </c>
      <c r="I478" s="219" t="s">
        <v>936</v>
      </c>
      <c r="J478" s="219" t="s">
        <v>159</v>
      </c>
      <c r="K478" s="219" t="s">
        <v>552</v>
      </c>
      <c r="L478" s="214" t="s">
        <v>474</v>
      </c>
      <c r="M478" s="222">
        <v>2023.0</v>
      </c>
      <c r="N478" s="214" t="s">
        <v>536</v>
      </c>
      <c r="O478" s="223">
        <v>3.0</v>
      </c>
      <c r="P478" s="224">
        <f t="shared" si="1"/>
        <v>0.03589484328</v>
      </c>
      <c r="Q478" s="214" t="str">
        <f t="shared" si="2"/>
        <v>Medium</v>
      </c>
    </row>
    <row r="479" ht="15.75" customHeight="1">
      <c r="A479" s="214" t="s">
        <v>935</v>
      </c>
      <c r="B479" s="216">
        <v>3956.0</v>
      </c>
      <c r="C479" s="216">
        <v>142.0</v>
      </c>
      <c r="D479" s="217">
        <v>12.0</v>
      </c>
      <c r="E479" s="219" t="s">
        <v>242</v>
      </c>
      <c r="F479" s="219" t="s">
        <v>356</v>
      </c>
      <c r="G479" s="214" t="s">
        <v>351</v>
      </c>
      <c r="H479" s="221">
        <v>45652.0</v>
      </c>
      <c r="I479" s="219" t="s">
        <v>937</v>
      </c>
      <c r="J479" s="219" t="s">
        <v>241</v>
      </c>
      <c r="K479" s="219" t="s">
        <v>493</v>
      </c>
      <c r="L479" s="214" t="s">
        <v>399</v>
      </c>
      <c r="M479" s="222">
        <v>2024.0</v>
      </c>
      <c r="N479" s="214" t="s">
        <v>400</v>
      </c>
      <c r="O479" s="223">
        <v>4.0</v>
      </c>
      <c r="P479" s="224">
        <f t="shared" si="1"/>
        <v>0.03589484328</v>
      </c>
      <c r="Q479" s="214" t="str">
        <f t="shared" si="2"/>
        <v>Medium</v>
      </c>
    </row>
    <row r="480" ht="15.75" customHeight="1">
      <c r="A480" s="214" t="s">
        <v>935</v>
      </c>
      <c r="B480" s="216">
        <v>6449.0</v>
      </c>
      <c r="C480" s="216">
        <v>2628.0</v>
      </c>
      <c r="D480" s="217">
        <v>11.0</v>
      </c>
      <c r="E480" s="219" t="s">
        <v>216</v>
      </c>
      <c r="F480" s="219" t="s">
        <v>361</v>
      </c>
      <c r="G480" s="214" t="s">
        <v>406</v>
      </c>
      <c r="H480" s="221">
        <v>45189.0</v>
      </c>
      <c r="I480" s="219" t="s">
        <v>936</v>
      </c>
      <c r="J480" s="219" t="s">
        <v>159</v>
      </c>
      <c r="K480" s="219" t="s">
        <v>552</v>
      </c>
      <c r="L480" s="214" t="s">
        <v>474</v>
      </c>
      <c r="M480" s="222">
        <v>2023.0</v>
      </c>
      <c r="N480" s="214" t="s">
        <v>536</v>
      </c>
      <c r="O480" s="223">
        <v>3.0</v>
      </c>
      <c r="P480" s="224">
        <f t="shared" si="1"/>
        <v>0.4075050395</v>
      </c>
      <c r="Q480" s="214" t="str">
        <f t="shared" si="2"/>
        <v>High</v>
      </c>
    </row>
    <row r="481" ht="15.75" customHeight="1">
      <c r="A481" s="214" t="s">
        <v>935</v>
      </c>
      <c r="B481" s="216">
        <v>6449.0</v>
      </c>
      <c r="C481" s="216">
        <v>2628.0</v>
      </c>
      <c r="D481" s="217">
        <v>11.0</v>
      </c>
      <c r="E481" s="219" t="s">
        <v>216</v>
      </c>
      <c r="F481" s="219" t="s">
        <v>361</v>
      </c>
      <c r="G481" s="214" t="s">
        <v>406</v>
      </c>
      <c r="H481" s="221">
        <v>45652.0</v>
      </c>
      <c r="I481" s="219" t="s">
        <v>937</v>
      </c>
      <c r="J481" s="219" t="s">
        <v>241</v>
      </c>
      <c r="K481" s="219" t="s">
        <v>493</v>
      </c>
      <c r="L481" s="214" t="s">
        <v>399</v>
      </c>
      <c r="M481" s="222">
        <v>2024.0</v>
      </c>
      <c r="N481" s="214" t="s">
        <v>400</v>
      </c>
      <c r="O481" s="223">
        <v>4.0</v>
      </c>
      <c r="P481" s="224">
        <f t="shared" si="1"/>
        <v>0.4075050395</v>
      </c>
      <c r="Q481" s="214" t="str">
        <f t="shared" si="2"/>
        <v>High</v>
      </c>
    </row>
    <row r="482" ht="15.75" customHeight="1">
      <c r="A482" s="214" t="s">
        <v>938</v>
      </c>
      <c r="B482" s="216">
        <v>6255.0</v>
      </c>
      <c r="C482" s="216">
        <v>437.0</v>
      </c>
      <c r="D482" s="217">
        <v>18.0</v>
      </c>
      <c r="E482" s="219" t="s">
        <v>242</v>
      </c>
      <c r="F482" s="219" t="s">
        <v>317</v>
      </c>
      <c r="G482" s="214" t="s">
        <v>405</v>
      </c>
      <c r="H482" s="221">
        <v>44533.0</v>
      </c>
      <c r="I482" s="219" t="s">
        <v>939</v>
      </c>
      <c r="J482" s="219" t="s">
        <v>223</v>
      </c>
      <c r="K482" s="219" t="s">
        <v>473</v>
      </c>
      <c r="L482" s="214" t="s">
        <v>452</v>
      </c>
      <c r="M482" s="222">
        <v>2021.0</v>
      </c>
      <c r="N482" s="214" t="s">
        <v>400</v>
      </c>
      <c r="O482" s="223">
        <v>4.0</v>
      </c>
      <c r="P482" s="224">
        <f t="shared" si="1"/>
        <v>0.06986410871</v>
      </c>
      <c r="Q482" s="214" t="str">
        <f t="shared" si="2"/>
        <v>High</v>
      </c>
    </row>
    <row r="483" ht="15.75" customHeight="1">
      <c r="A483" s="214" t="s">
        <v>938</v>
      </c>
      <c r="B483" s="216">
        <v>2109.0</v>
      </c>
      <c r="C483" s="216">
        <v>681.0</v>
      </c>
      <c r="D483" s="217">
        <v>20.0</v>
      </c>
      <c r="E483" s="219" t="s">
        <v>157</v>
      </c>
      <c r="F483" s="219" t="s">
        <v>355</v>
      </c>
      <c r="G483" s="214" t="s">
        <v>392</v>
      </c>
      <c r="H483" s="221">
        <v>44533.0</v>
      </c>
      <c r="I483" s="219" t="s">
        <v>939</v>
      </c>
      <c r="J483" s="219" t="s">
        <v>223</v>
      </c>
      <c r="K483" s="219" t="s">
        <v>473</v>
      </c>
      <c r="L483" s="214" t="s">
        <v>452</v>
      </c>
      <c r="M483" s="222">
        <v>2021.0</v>
      </c>
      <c r="N483" s="214" t="s">
        <v>400</v>
      </c>
      <c r="O483" s="223">
        <v>4.0</v>
      </c>
      <c r="P483" s="224">
        <f t="shared" si="1"/>
        <v>0.3229018492</v>
      </c>
      <c r="Q483" s="214" t="str">
        <f t="shared" si="2"/>
        <v>Medium</v>
      </c>
    </row>
    <row r="484" ht="15.75" customHeight="1">
      <c r="A484" s="214" t="s">
        <v>940</v>
      </c>
      <c r="B484" s="216">
        <v>6707.0</v>
      </c>
      <c r="C484" s="216">
        <v>1041.0</v>
      </c>
      <c r="D484" s="217">
        <v>20.0</v>
      </c>
      <c r="E484" s="219" t="s">
        <v>157</v>
      </c>
      <c r="F484" s="219" t="s">
        <v>358</v>
      </c>
      <c r="G484" s="214" t="s">
        <v>350</v>
      </c>
      <c r="H484" s="221">
        <v>44453.0</v>
      </c>
      <c r="I484" s="219" t="s">
        <v>941</v>
      </c>
      <c r="J484" s="219" t="s">
        <v>241</v>
      </c>
      <c r="K484" s="219" t="s">
        <v>504</v>
      </c>
      <c r="L484" s="214" t="s">
        <v>450</v>
      </c>
      <c r="M484" s="222">
        <v>2021.0</v>
      </c>
      <c r="N484" s="214" t="s">
        <v>536</v>
      </c>
      <c r="O484" s="223">
        <v>3.0</v>
      </c>
      <c r="P484" s="224">
        <f t="shared" si="1"/>
        <v>0.1552109736</v>
      </c>
      <c r="Q484" s="214" t="str">
        <f t="shared" si="2"/>
        <v>High</v>
      </c>
    </row>
    <row r="485" ht="15.75" customHeight="1">
      <c r="A485" s="214" t="s">
        <v>942</v>
      </c>
      <c r="B485" s="216">
        <v>7633.0</v>
      </c>
      <c r="C485" s="216">
        <v>184.0</v>
      </c>
      <c r="D485" s="217">
        <v>13.0</v>
      </c>
      <c r="E485" s="219" t="s">
        <v>242</v>
      </c>
      <c r="F485" s="219" t="s">
        <v>356</v>
      </c>
      <c r="G485" s="214" t="s">
        <v>405</v>
      </c>
      <c r="H485" s="221">
        <v>44469.0</v>
      </c>
      <c r="I485" s="219" t="s">
        <v>943</v>
      </c>
      <c r="J485" s="219" t="s">
        <v>271</v>
      </c>
      <c r="K485" s="219" t="s">
        <v>449</v>
      </c>
      <c r="L485" s="214" t="s">
        <v>450</v>
      </c>
      <c r="M485" s="222">
        <v>2021.0</v>
      </c>
      <c r="N485" s="214" t="s">
        <v>536</v>
      </c>
      <c r="O485" s="223">
        <v>3.0</v>
      </c>
      <c r="P485" s="224">
        <f t="shared" si="1"/>
        <v>0.02410585615</v>
      </c>
      <c r="Q485" s="214" t="str">
        <f t="shared" si="2"/>
        <v>High</v>
      </c>
    </row>
    <row r="486" ht="15.75" customHeight="1">
      <c r="A486" s="214" t="s">
        <v>944</v>
      </c>
      <c r="B486" s="216">
        <v>975.0</v>
      </c>
      <c r="C486" s="216">
        <v>224.0</v>
      </c>
      <c r="D486" s="217">
        <v>18.0</v>
      </c>
      <c r="E486" s="219" t="s">
        <v>242</v>
      </c>
      <c r="F486" s="219" t="s">
        <v>356</v>
      </c>
      <c r="G486" s="214" t="s">
        <v>405</v>
      </c>
      <c r="H486" s="221">
        <v>44552.0</v>
      </c>
      <c r="I486" s="219" t="s">
        <v>945</v>
      </c>
      <c r="J486" s="219" t="s">
        <v>117</v>
      </c>
      <c r="K486" s="219" t="s">
        <v>496</v>
      </c>
      <c r="L486" s="214" t="s">
        <v>452</v>
      </c>
      <c r="M486" s="222">
        <v>2021.0</v>
      </c>
      <c r="N486" s="214" t="s">
        <v>400</v>
      </c>
      <c r="O486" s="223">
        <v>4.0</v>
      </c>
      <c r="P486" s="224">
        <f t="shared" si="1"/>
        <v>0.2297435897</v>
      </c>
      <c r="Q486" s="214" t="str">
        <f t="shared" si="2"/>
        <v>Medium</v>
      </c>
    </row>
    <row r="487" ht="15.75" customHeight="1">
      <c r="A487" s="214" t="s">
        <v>944</v>
      </c>
      <c r="B487" s="216">
        <v>4492.0</v>
      </c>
      <c r="C487" s="216">
        <v>1450.0</v>
      </c>
      <c r="D487" s="217">
        <v>7.0</v>
      </c>
      <c r="E487" s="219" t="s">
        <v>216</v>
      </c>
      <c r="F487" s="219" t="s">
        <v>344</v>
      </c>
      <c r="G487" s="214" t="s">
        <v>406</v>
      </c>
      <c r="H487" s="221">
        <v>44552.0</v>
      </c>
      <c r="I487" s="219" t="s">
        <v>945</v>
      </c>
      <c r="J487" s="219" t="s">
        <v>117</v>
      </c>
      <c r="K487" s="219" t="s">
        <v>496</v>
      </c>
      <c r="L487" s="214" t="s">
        <v>452</v>
      </c>
      <c r="M487" s="222">
        <v>2021.0</v>
      </c>
      <c r="N487" s="214" t="s">
        <v>400</v>
      </c>
      <c r="O487" s="223">
        <v>4.0</v>
      </c>
      <c r="P487" s="224">
        <f t="shared" si="1"/>
        <v>0.3227960819</v>
      </c>
      <c r="Q487" s="214" t="str">
        <f t="shared" si="2"/>
        <v>Medium</v>
      </c>
    </row>
    <row r="488" ht="15.75" customHeight="1">
      <c r="A488" s="214" t="s">
        <v>944</v>
      </c>
      <c r="B488" s="216">
        <v>7957.0</v>
      </c>
      <c r="C488" s="216">
        <v>2834.0</v>
      </c>
      <c r="D488" s="217">
        <v>12.0</v>
      </c>
      <c r="E488" s="219" t="s">
        <v>216</v>
      </c>
      <c r="F488" s="219" t="s">
        <v>359</v>
      </c>
      <c r="G488" s="214" t="s">
        <v>392</v>
      </c>
      <c r="H488" s="221">
        <v>44552.0</v>
      </c>
      <c r="I488" s="219" t="s">
        <v>945</v>
      </c>
      <c r="J488" s="219" t="s">
        <v>117</v>
      </c>
      <c r="K488" s="219" t="s">
        <v>496</v>
      </c>
      <c r="L488" s="214" t="s">
        <v>452</v>
      </c>
      <c r="M488" s="222">
        <v>2021.0</v>
      </c>
      <c r="N488" s="214" t="s">
        <v>400</v>
      </c>
      <c r="O488" s="223">
        <v>4.0</v>
      </c>
      <c r="P488" s="224">
        <f t="shared" si="1"/>
        <v>0.3561643836</v>
      </c>
      <c r="Q488" s="214" t="str">
        <f t="shared" si="2"/>
        <v>High</v>
      </c>
    </row>
    <row r="489" ht="15.75" customHeight="1">
      <c r="A489" s="214" t="s">
        <v>946</v>
      </c>
      <c r="B489" s="216">
        <v>4906.0</v>
      </c>
      <c r="C489" s="216">
        <v>975.0</v>
      </c>
      <c r="D489" s="217">
        <v>7.0</v>
      </c>
      <c r="E489" s="219" t="s">
        <v>216</v>
      </c>
      <c r="F489" s="219" t="s">
        <v>344</v>
      </c>
      <c r="G489" s="214" t="s">
        <v>351</v>
      </c>
      <c r="H489" s="221">
        <v>44699.0</v>
      </c>
      <c r="I489" s="219" t="s">
        <v>947</v>
      </c>
      <c r="J489" s="219" t="s">
        <v>241</v>
      </c>
      <c r="K489" s="219" t="s">
        <v>541</v>
      </c>
      <c r="L489" s="214" t="s">
        <v>457</v>
      </c>
      <c r="M489" s="222">
        <v>2022.0</v>
      </c>
      <c r="N489" s="214" t="s">
        <v>411</v>
      </c>
      <c r="O489" s="223">
        <v>2.0</v>
      </c>
      <c r="P489" s="224">
        <f t="shared" si="1"/>
        <v>0.1987362413</v>
      </c>
      <c r="Q489" s="214" t="str">
        <f t="shared" si="2"/>
        <v>Medium</v>
      </c>
    </row>
    <row r="490" ht="15.75" customHeight="1">
      <c r="A490" s="214" t="s">
        <v>948</v>
      </c>
      <c r="B490" s="216">
        <v>1379.0</v>
      </c>
      <c r="C490" s="216">
        <v>250.0</v>
      </c>
      <c r="D490" s="217">
        <v>3.0</v>
      </c>
      <c r="E490" s="219" t="s">
        <v>242</v>
      </c>
      <c r="F490" s="219" t="s">
        <v>356</v>
      </c>
      <c r="G490" s="214" t="s">
        <v>350</v>
      </c>
      <c r="H490" s="221">
        <v>44112.0</v>
      </c>
      <c r="I490" s="219" t="s">
        <v>949</v>
      </c>
      <c r="J490" s="219" t="s">
        <v>223</v>
      </c>
      <c r="K490" s="219" t="s">
        <v>402</v>
      </c>
      <c r="L490" s="214" t="s">
        <v>435</v>
      </c>
      <c r="M490" s="222">
        <v>2020.0</v>
      </c>
      <c r="N490" s="214" t="s">
        <v>414</v>
      </c>
      <c r="O490" s="223">
        <v>4.0</v>
      </c>
      <c r="P490" s="224">
        <f t="shared" si="1"/>
        <v>0.1812907904</v>
      </c>
      <c r="Q490" s="214" t="str">
        <f t="shared" si="2"/>
        <v>Medium</v>
      </c>
    </row>
    <row r="491" ht="15.75" customHeight="1">
      <c r="A491" s="214" t="s">
        <v>948</v>
      </c>
      <c r="B491" s="216">
        <v>4244.0</v>
      </c>
      <c r="C491" s="216">
        <v>340.0</v>
      </c>
      <c r="D491" s="217">
        <v>10.0</v>
      </c>
      <c r="E491" s="219" t="s">
        <v>157</v>
      </c>
      <c r="F491" s="219" t="s">
        <v>360</v>
      </c>
      <c r="G491" s="214" t="s">
        <v>351</v>
      </c>
      <c r="H491" s="221">
        <v>44112.0</v>
      </c>
      <c r="I491" s="219" t="s">
        <v>949</v>
      </c>
      <c r="J491" s="219" t="s">
        <v>223</v>
      </c>
      <c r="K491" s="219" t="s">
        <v>402</v>
      </c>
      <c r="L491" s="214" t="s">
        <v>435</v>
      </c>
      <c r="M491" s="222">
        <v>2020.0</v>
      </c>
      <c r="N491" s="214" t="s">
        <v>414</v>
      </c>
      <c r="O491" s="223">
        <v>4.0</v>
      </c>
      <c r="P491" s="224">
        <f t="shared" si="1"/>
        <v>0.08011310085</v>
      </c>
      <c r="Q491" s="214" t="str">
        <f t="shared" si="2"/>
        <v>Medium</v>
      </c>
    </row>
    <row r="492" ht="15.75" customHeight="1">
      <c r="A492" s="214" t="s">
        <v>950</v>
      </c>
      <c r="B492" s="216">
        <v>5911.0</v>
      </c>
      <c r="C492" s="216">
        <v>2333.0</v>
      </c>
      <c r="D492" s="217">
        <v>14.0</v>
      </c>
      <c r="E492" s="219" t="s">
        <v>216</v>
      </c>
      <c r="F492" s="219" t="s">
        <v>361</v>
      </c>
      <c r="G492" s="214" t="s">
        <v>406</v>
      </c>
      <c r="H492" s="221">
        <v>44793.0</v>
      </c>
      <c r="I492" s="219" t="s">
        <v>951</v>
      </c>
      <c r="J492" s="219" t="s">
        <v>117</v>
      </c>
      <c r="K492" s="219" t="s">
        <v>496</v>
      </c>
      <c r="L492" s="214" t="s">
        <v>461</v>
      </c>
      <c r="M492" s="222">
        <v>2022.0</v>
      </c>
      <c r="N492" s="214" t="s">
        <v>523</v>
      </c>
      <c r="O492" s="223">
        <v>3.0</v>
      </c>
      <c r="P492" s="224">
        <f t="shared" si="1"/>
        <v>0.3946878701</v>
      </c>
      <c r="Q492" s="214" t="str">
        <f t="shared" si="2"/>
        <v>High</v>
      </c>
    </row>
    <row r="493" ht="15.75" customHeight="1">
      <c r="A493" s="214" t="s">
        <v>950</v>
      </c>
      <c r="B493" s="216">
        <v>5911.0</v>
      </c>
      <c r="C493" s="216">
        <v>2333.0</v>
      </c>
      <c r="D493" s="217">
        <v>14.0</v>
      </c>
      <c r="E493" s="219" t="s">
        <v>216</v>
      </c>
      <c r="F493" s="219" t="s">
        <v>361</v>
      </c>
      <c r="G493" s="214" t="s">
        <v>406</v>
      </c>
      <c r="H493" s="221">
        <v>45621.0</v>
      </c>
      <c r="I493" s="219" t="s">
        <v>952</v>
      </c>
      <c r="J493" s="219" t="s">
        <v>117</v>
      </c>
      <c r="K493" s="219" t="s">
        <v>508</v>
      </c>
      <c r="L493" s="214" t="s">
        <v>486</v>
      </c>
      <c r="M493" s="222">
        <v>2024.0</v>
      </c>
      <c r="N493" s="214" t="s">
        <v>425</v>
      </c>
      <c r="O493" s="223">
        <v>4.0</v>
      </c>
      <c r="P493" s="224">
        <f t="shared" si="1"/>
        <v>0.3946878701</v>
      </c>
      <c r="Q493" s="214" t="str">
        <f t="shared" si="2"/>
        <v>High</v>
      </c>
    </row>
    <row r="494" ht="15.75" customHeight="1">
      <c r="A494" s="214" t="s">
        <v>950</v>
      </c>
      <c r="B494" s="216">
        <v>1818.0</v>
      </c>
      <c r="C494" s="216">
        <v>738.0</v>
      </c>
      <c r="D494" s="217">
        <v>11.0</v>
      </c>
      <c r="E494" s="219" t="s">
        <v>242</v>
      </c>
      <c r="F494" s="219" t="s">
        <v>317</v>
      </c>
      <c r="G494" s="214" t="s">
        <v>406</v>
      </c>
      <c r="H494" s="221">
        <v>44793.0</v>
      </c>
      <c r="I494" s="219" t="s">
        <v>951</v>
      </c>
      <c r="J494" s="219" t="s">
        <v>117</v>
      </c>
      <c r="K494" s="219" t="s">
        <v>496</v>
      </c>
      <c r="L494" s="214" t="s">
        <v>461</v>
      </c>
      <c r="M494" s="222">
        <v>2022.0</v>
      </c>
      <c r="N494" s="214" t="s">
        <v>523</v>
      </c>
      <c r="O494" s="223">
        <v>3.0</v>
      </c>
      <c r="P494" s="224">
        <f t="shared" si="1"/>
        <v>0.4059405941</v>
      </c>
      <c r="Q494" s="214" t="str">
        <f t="shared" si="2"/>
        <v>Medium</v>
      </c>
    </row>
    <row r="495" ht="15.75" customHeight="1">
      <c r="A495" s="214" t="s">
        <v>950</v>
      </c>
      <c r="B495" s="216">
        <v>1818.0</v>
      </c>
      <c r="C495" s="216">
        <v>738.0</v>
      </c>
      <c r="D495" s="217">
        <v>11.0</v>
      </c>
      <c r="E495" s="219" t="s">
        <v>242</v>
      </c>
      <c r="F495" s="219" t="s">
        <v>317</v>
      </c>
      <c r="G495" s="214" t="s">
        <v>406</v>
      </c>
      <c r="H495" s="221">
        <v>45621.0</v>
      </c>
      <c r="I495" s="219" t="s">
        <v>952</v>
      </c>
      <c r="J495" s="219" t="s">
        <v>117</v>
      </c>
      <c r="K495" s="219" t="s">
        <v>508</v>
      </c>
      <c r="L495" s="214" t="s">
        <v>486</v>
      </c>
      <c r="M495" s="222">
        <v>2024.0</v>
      </c>
      <c r="N495" s="214" t="s">
        <v>425</v>
      </c>
      <c r="O495" s="223">
        <v>4.0</v>
      </c>
      <c r="P495" s="224">
        <f t="shared" si="1"/>
        <v>0.4059405941</v>
      </c>
      <c r="Q495" s="214" t="str">
        <f t="shared" si="2"/>
        <v>Medium</v>
      </c>
    </row>
    <row r="496" ht="15.75" customHeight="1">
      <c r="A496" s="214" t="s">
        <v>953</v>
      </c>
      <c r="B496" s="216">
        <v>2140.0</v>
      </c>
      <c r="C496" s="216">
        <v>970.0</v>
      </c>
      <c r="D496" s="217">
        <v>4.0</v>
      </c>
      <c r="E496" s="219" t="s">
        <v>242</v>
      </c>
      <c r="F496" s="219" t="s">
        <v>357</v>
      </c>
      <c r="G496" s="214" t="s">
        <v>350</v>
      </c>
      <c r="H496" s="221">
        <v>44104.0</v>
      </c>
      <c r="I496" s="219" t="s">
        <v>954</v>
      </c>
      <c r="J496" s="219" t="s">
        <v>117</v>
      </c>
      <c r="K496" s="219" t="s">
        <v>496</v>
      </c>
      <c r="L496" s="214" t="s">
        <v>434</v>
      </c>
      <c r="M496" s="222">
        <v>2020.0</v>
      </c>
      <c r="N496" s="214" t="s">
        <v>536</v>
      </c>
      <c r="O496" s="223">
        <v>3.0</v>
      </c>
      <c r="P496" s="224">
        <f t="shared" si="1"/>
        <v>0.453271028</v>
      </c>
      <c r="Q496" s="214" t="str">
        <f t="shared" si="2"/>
        <v>Medium</v>
      </c>
    </row>
    <row r="497" ht="15.75" customHeight="1">
      <c r="A497" s="214" t="s">
        <v>953</v>
      </c>
      <c r="B497" s="216">
        <v>2140.0</v>
      </c>
      <c r="C497" s="216">
        <v>970.0</v>
      </c>
      <c r="D497" s="217">
        <v>4.0</v>
      </c>
      <c r="E497" s="219" t="s">
        <v>242</v>
      </c>
      <c r="F497" s="219" t="s">
        <v>357</v>
      </c>
      <c r="G497" s="214" t="s">
        <v>350</v>
      </c>
      <c r="H497" s="221">
        <v>45708.0</v>
      </c>
      <c r="I497" s="219" t="s">
        <v>955</v>
      </c>
      <c r="J497" s="219" t="s">
        <v>159</v>
      </c>
      <c r="K497" s="219" t="s">
        <v>409</v>
      </c>
      <c r="L497" s="214" t="s">
        <v>488</v>
      </c>
      <c r="M497" s="222">
        <v>2025.0</v>
      </c>
      <c r="N497" s="214" t="s">
        <v>494</v>
      </c>
      <c r="O497" s="223">
        <v>1.0</v>
      </c>
      <c r="P497" s="224">
        <f t="shared" si="1"/>
        <v>0.453271028</v>
      </c>
      <c r="Q497" s="214" t="str">
        <f t="shared" si="2"/>
        <v>Medium</v>
      </c>
    </row>
    <row r="498" ht="15.75" customHeight="1">
      <c r="A498" s="214" t="s">
        <v>953</v>
      </c>
      <c r="B498" s="216">
        <v>2140.0</v>
      </c>
      <c r="C498" s="216">
        <v>970.0</v>
      </c>
      <c r="D498" s="217">
        <v>4.0</v>
      </c>
      <c r="E498" s="219" t="s">
        <v>242</v>
      </c>
      <c r="F498" s="219" t="s">
        <v>357</v>
      </c>
      <c r="G498" s="214" t="s">
        <v>350</v>
      </c>
      <c r="H498" s="221">
        <v>44640.0</v>
      </c>
      <c r="I498" s="219" t="s">
        <v>956</v>
      </c>
      <c r="J498" s="219" t="s">
        <v>117</v>
      </c>
      <c r="K498" s="219" t="s">
        <v>508</v>
      </c>
      <c r="L498" s="214" t="s">
        <v>455</v>
      </c>
      <c r="M498" s="222">
        <v>2022.0</v>
      </c>
      <c r="N498" s="214" t="s">
        <v>433</v>
      </c>
      <c r="O498" s="223">
        <v>1.0</v>
      </c>
      <c r="P498" s="224">
        <f t="shared" si="1"/>
        <v>0.453271028</v>
      </c>
      <c r="Q498" s="214" t="str">
        <f t="shared" si="2"/>
        <v>Medium</v>
      </c>
    </row>
    <row r="499" ht="15.75" customHeight="1">
      <c r="A499" s="214" t="s">
        <v>953</v>
      </c>
      <c r="B499" s="216">
        <v>2670.0</v>
      </c>
      <c r="C499" s="216">
        <v>1026.0</v>
      </c>
      <c r="D499" s="217">
        <v>1.0</v>
      </c>
      <c r="E499" s="219" t="s">
        <v>157</v>
      </c>
      <c r="F499" s="219" t="s">
        <v>360</v>
      </c>
      <c r="G499" s="214" t="s">
        <v>351</v>
      </c>
      <c r="H499" s="221">
        <v>44104.0</v>
      </c>
      <c r="I499" s="219" t="s">
        <v>954</v>
      </c>
      <c r="J499" s="219" t="s">
        <v>117</v>
      </c>
      <c r="K499" s="219" t="s">
        <v>496</v>
      </c>
      <c r="L499" s="214" t="s">
        <v>434</v>
      </c>
      <c r="M499" s="222">
        <v>2020.0</v>
      </c>
      <c r="N499" s="214" t="s">
        <v>536</v>
      </c>
      <c r="O499" s="223">
        <v>3.0</v>
      </c>
      <c r="P499" s="224">
        <f t="shared" si="1"/>
        <v>0.3842696629</v>
      </c>
      <c r="Q499" s="214" t="str">
        <f t="shared" si="2"/>
        <v>Medium</v>
      </c>
    </row>
    <row r="500" ht="15.75" customHeight="1">
      <c r="A500" s="214" t="s">
        <v>953</v>
      </c>
      <c r="B500" s="216">
        <v>2670.0</v>
      </c>
      <c r="C500" s="216">
        <v>1026.0</v>
      </c>
      <c r="D500" s="217">
        <v>1.0</v>
      </c>
      <c r="E500" s="219" t="s">
        <v>157</v>
      </c>
      <c r="F500" s="219" t="s">
        <v>360</v>
      </c>
      <c r="G500" s="214" t="s">
        <v>351</v>
      </c>
      <c r="H500" s="221">
        <v>45708.0</v>
      </c>
      <c r="I500" s="219" t="s">
        <v>955</v>
      </c>
      <c r="J500" s="219" t="s">
        <v>159</v>
      </c>
      <c r="K500" s="219" t="s">
        <v>409</v>
      </c>
      <c r="L500" s="214" t="s">
        <v>488</v>
      </c>
      <c r="M500" s="222">
        <v>2025.0</v>
      </c>
      <c r="N500" s="214" t="s">
        <v>494</v>
      </c>
      <c r="O500" s="223">
        <v>1.0</v>
      </c>
      <c r="P500" s="224">
        <f t="shared" si="1"/>
        <v>0.3842696629</v>
      </c>
      <c r="Q500" s="214" t="str">
        <f t="shared" si="2"/>
        <v>Medium</v>
      </c>
    </row>
    <row r="501" ht="15.75" customHeight="1">
      <c r="A501" s="214" t="s">
        <v>953</v>
      </c>
      <c r="B501" s="216">
        <v>2670.0</v>
      </c>
      <c r="C501" s="216">
        <v>1026.0</v>
      </c>
      <c r="D501" s="217">
        <v>1.0</v>
      </c>
      <c r="E501" s="219" t="s">
        <v>157</v>
      </c>
      <c r="F501" s="219" t="s">
        <v>360</v>
      </c>
      <c r="G501" s="214" t="s">
        <v>351</v>
      </c>
      <c r="H501" s="221">
        <v>44640.0</v>
      </c>
      <c r="I501" s="219" t="s">
        <v>956</v>
      </c>
      <c r="J501" s="219" t="s">
        <v>117</v>
      </c>
      <c r="K501" s="219" t="s">
        <v>508</v>
      </c>
      <c r="L501" s="214" t="s">
        <v>455</v>
      </c>
      <c r="M501" s="222">
        <v>2022.0</v>
      </c>
      <c r="N501" s="214" t="s">
        <v>433</v>
      </c>
      <c r="O501" s="223">
        <v>1.0</v>
      </c>
      <c r="P501" s="224">
        <f t="shared" si="1"/>
        <v>0.3842696629</v>
      </c>
      <c r="Q501" s="214" t="str">
        <f t="shared" si="2"/>
        <v>Medium</v>
      </c>
    </row>
    <row r="502" ht="15.75" customHeight="1">
      <c r="A502" s="214" t="s">
        <v>957</v>
      </c>
      <c r="B502" s="216">
        <v>1108.0</v>
      </c>
      <c r="C502" s="216">
        <v>167.0</v>
      </c>
      <c r="D502" s="217">
        <v>18.0</v>
      </c>
      <c r="E502" s="219" t="s">
        <v>157</v>
      </c>
      <c r="F502" s="219" t="s">
        <v>360</v>
      </c>
      <c r="G502" s="214" t="s">
        <v>351</v>
      </c>
      <c r="H502" s="221">
        <v>45723.0</v>
      </c>
      <c r="I502" s="219" t="s">
        <v>958</v>
      </c>
      <c r="J502" s="219" t="s">
        <v>271</v>
      </c>
      <c r="K502" s="219" t="s">
        <v>449</v>
      </c>
      <c r="L502" s="214" t="s">
        <v>489</v>
      </c>
      <c r="M502" s="222">
        <v>2025.0</v>
      </c>
      <c r="N502" s="214" t="s">
        <v>433</v>
      </c>
      <c r="O502" s="223">
        <v>1.0</v>
      </c>
      <c r="P502" s="224">
        <f t="shared" si="1"/>
        <v>0.1507220217</v>
      </c>
      <c r="Q502" s="214" t="str">
        <f t="shared" si="2"/>
        <v>Medium</v>
      </c>
    </row>
    <row r="503" ht="15.75" customHeight="1">
      <c r="A503" s="214" t="s">
        <v>957</v>
      </c>
      <c r="B503" s="216">
        <v>9776.0</v>
      </c>
      <c r="C503" s="216">
        <v>3750.0</v>
      </c>
      <c r="D503" s="217">
        <v>9.0</v>
      </c>
      <c r="E503" s="219" t="s">
        <v>242</v>
      </c>
      <c r="F503" s="219" t="s">
        <v>362</v>
      </c>
      <c r="G503" s="214" t="s">
        <v>392</v>
      </c>
      <c r="H503" s="221">
        <v>45723.0</v>
      </c>
      <c r="I503" s="219" t="s">
        <v>958</v>
      </c>
      <c r="J503" s="219" t="s">
        <v>271</v>
      </c>
      <c r="K503" s="219" t="s">
        <v>449</v>
      </c>
      <c r="L503" s="214" t="s">
        <v>489</v>
      </c>
      <c r="M503" s="222">
        <v>2025.0</v>
      </c>
      <c r="N503" s="214" t="s">
        <v>433</v>
      </c>
      <c r="O503" s="223">
        <v>1.0</v>
      </c>
      <c r="P503" s="224">
        <f t="shared" si="1"/>
        <v>0.3835924714</v>
      </c>
      <c r="Q503" s="214" t="str">
        <f t="shared" si="2"/>
        <v>High</v>
      </c>
    </row>
    <row r="504" ht="15.75" customHeight="1">
      <c r="A504" s="214" t="s">
        <v>957</v>
      </c>
      <c r="B504" s="216">
        <v>535.0</v>
      </c>
      <c r="C504" s="216">
        <v>72.0</v>
      </c>
      <c r="D504" s="217">
        <v>6.0</v>
      </c>
      <c r="E504" s="219" t="s">
        <v>216</v>
      </c>
      <c r="F504" s="219" t="s">
        <v>361</v>
      </c>
      <c r="G504" s="214" t="s">
        <v>405</v>
      </c>
      <c r="H504" s="221">
        <v>45723.0</v>
      </c>
      <c r="I504" s="219" t="s">
        <v>958</v>
      </c>
      <c r="J504" s="219" t="s">
        <v>271</v>
      </c>
      <c r="K504" s="219" t="s">
        <v>449</v>
      </c>
      <c r="L504" s="214" t="s">
        <v>489</v>
      </c>
      <c r="M504" s="222">
        <v>2025.0</v>
      </c>
      <c r="N504" s="214" t="s">
        <v>433</v>
      </c>
      <c r="O504" s="223">
        <v>1.0</v>
      </c>
      <c r="P504" s="224">
        <f t="shared" si="1"/>
        <v>0.1345794393</v>
      </c>
      <c r="Q504" s="214" t="str">
        <f t="shared" si="2"/>
        <v>Medium</v>
      </c>
    </row>
    <row r="505" ht="15.75" customHeight="1">
      <c r="A505" s="214" t="s">
        <v>959</v>
      </c>
      <c r="B505" s="216">
        <v>7564.0</v>
      </c>
      <c r="C505" s="216">
        <v>3463.0</v>
      </c>
      <c r="D505" s="217">
        <v>5.0</v>
      </c>
      <c r="E505" s="219" t="s">
        <v>242</v>
      </c>
      <c r="F505" s="219" t="s">
        <v>357</v>
      </c>
      <c r="G505" s="214" t="s">
        <v>350</v>
      </c>
      <c r="H505" s="221">
        <v>45459.0</v>
      </c>
      <c r="I505" s="219" t="s">
        <v>960</v>
      </c>
      <c r="J505" s="219" t="s">
        <v>159</v>
      </c>
      <c r="K505" s="219" t="s">
        <v>552</v>
      </c>
      <c r="L505" s="214" t="s">
        <v>481</v>
      </c>
      <c r="M505" s="222">
        <v>2024.0</v>
      </c>
      <c r="N505" s="214" t="s">
        <v>396</v>
      </c>
      <c r="O505" s="223">
        <v>2.0</v>
      </c>
      <c r="P505" s="224">
        <f t="shared" si="1"/>
        <v>0.4578265468</v>
      </c>
      <c r="Q505" s="214" t="str">
        <f t="shared" si="2"/>
        <v>High</v>
      </c>
    </row>
    <row r="506" ht="15.75" customHeight="1">
      <c r="A506" s="214" t="s">
        <v>959</v>
      </c>
      <c r="B506" s="216">
        <v>7564.0</v>
      </c>
      <c r="C506" s="216">
        <v>3463.0</v>
      </c>
      <c r="D506" s="217">
        <v>5.0</v>
      </c>
      <c r="E506" s="219" t="s">
        <v>242</v>
      </c>
      <c r="F506" s="219" t="s">
        <v>357</v>
      </c>
      <c r="G506" s="214" t="s">
        <v>350</v>
      </c>
      <c r="H506" s="221">
        <v>44156.0</v>
      </c>
      <c r="I506" s="219" t="s">
        <v>961</v>
      </c>
      <c r="J506" s="219" t="s">
        <v>271</v>
      </c>
      <c r="K506" s="219" t="s">
        <v>568</v>
      </c>
      <c r="L506" s="214" t="s">
        <v>436</v>
      </c>
      <c r="M506" s="222">
        <v>2020.0</v>
      </c>
      <c r="N506" s="214" t="s">
        <v>425</v>
      </c>
      <c r="O506" s="223">
        <v>4.0</v>
      </c>
      <c r="P506" s="224">
        <f t="shared" si="1"/>
        <v>0.4578265468</v>
      </c>
      <c r="Q506" s="214" t="str">
        <f t="shared" si="2"/>
        <v>High</v>
      </c>
    </row>
    <row r="507" ht="15.75" customHeight="1">
      <c r="A507" s="214" t="s">
        <v>959</v>
      </c>
      <c r="B507" s="216">
        <v>7564.0</v>
      </c>
      <c r="C507" s="216">
        <v>3463.0</v>
      </c>
      <c r="D507" s="217">
        <v>5.0</v>
      </c>
      <c r="E507" s="219" t="s">
        <v>242</v>
      </c>
      <c r="F507" s="219" t="s">
        <v>357</v>
      </c>
      <c r="G507" s="214" t="s">
        <v>350</v>
      </c>
      <c r="H507" s="221">
        <v>45566.0</v>
      </c>
      <c r="I507" s="219" t="s">
        <v>962</v>
      </c>
      <c r="J507" s="219" t="s">
        <v>159</v>
      </c>
      <c r="K507" s="219" t="s">
        <v>394</v>
      </c>
      <c r="L507" s="214" t="s">
        <v>485</v>
      </c>
      <c r="M507" s="222">
        <v>2024.0</v>
      </c>
      <c r="N507" s="214" t="s">
        <v>414</v>
      </c>
      <c r="O507" s="223">
        <v>4.0</v>
      </c>
      <c r="P507" s="224">
        <f t="shared" si="1"/>
        <v>0.4578265468</v>
      </c>
      <c r="Q507" s="214" t="str">
        <f t="shared" si="2"/>
        <v>High</v>
      </c>
    </row>
    <row r="508" ht="15.75" customHeight="1">
      <c r="A508" s="214" t="s">
        <v>959</v>
      </c>
      <c r="B508" s="216">
        <v>7564.0</v>
      </c>
      <c r="C508" s="216">
        <v>3463.0</v>
      </c>
      <c r="D508" s="217">
        <v>5.0</v>
      </c>
      <c r="E508" s="219" t="s">
        <v>242</v>
      </c>
      <c r="F508" s="219" t="s">
        <v>357</v>
      </c>
      <c r="G508" s="214" t="s">
        <v>350</v>
      </c>
      <c r="H508" s="221">
        <v>45474.0</v>
      </c>
      <c r="I508" s="219" t="s">
        <v>963</v>
      </c>
      <c r="J508" s="219" t="s">
        <v>241</v>
      </c>
      <c r="K508" s="219" t="s">
        <v>541</v>
      </c>
      <c r="L508" s="214" t="s">
        <v>482</v>
      </c>
      <c r="M508" s="222">
        <v>2024.0</v>
      </c>
      <c r="N508" s="214" t="s">
        <v>404</v>
      </c>
      <c r="O508" s="223">
        <v>3.0</v>
      </c>
      <c r="P508" s="224">
        <f t="shared" si="1"/>
        <v>0.4578265468</v>
      </c>
      <c r="Q508" s="214" t="str">
        <f t="shared" si="2"/>
        <v>High</v>
      </c>
    </row>
    <row r="509" ht="15.75" customHeight="1">
      <c r="A509" s="214" t="s">
        <v>959</v>
      </c>
      <c r="B509" s="216">
        <v>3409.0</v>
      </c>
      <c r="C509" s="216">
        <v>1605.0</v>
      </c>
      <c r="D509" s="217">
        <v>20.0</v>
      </c>
      <c r="E509" s="219" t="s">
        <v>157</v>
      </c>
      <c r="F509" s="219" t="s">
        <v>355</v>
      </c>
      <c r="G509" s="214" t="s">
        <v>392</v>
      </c>
      <c r="H509" s="221">
        <v>45459.0</v>
      </c>
      <c r="I509" s="219" t="s">
        <v>960</v>
      </c>
      <c r="J509" s="219" t="s">
        <v>159</v>
      </c>
      <c r="K509" s="219" t="s">
        <v>552</v>
      </c>
      <c r="L509" s="214" t="s">
        <v>481</v>
      </c>
      <c r="M509" s="222">
        <v>2024.0</v>
      </c>
      <c r="N509" s="214" t="s">
        <v>396</v>
      </c>
      <c r="O509" s="223">
        <v>2.0</v>
      </c>
      <c r="P509" s="224">
        <f t="shared" si="1"/>
        <v>0.470812555</v>
      </c>
      <c r="Q509" s="214" t="str">
        <f t="shared" si="2"/>
        <v>Medium</v>
      </c>
    </row>
    <row r="510" ht="15.75" customHeight="1">
      <c r="A510" s="214" t="s">
        <v>959</v>
      </c>
      <c r="B510" s="216">
        <v>3409.0</v>
      </c>
      <c r="C510" s="216">
        <v>1605.0</v>
      </c>
      <c r="D510" s="217">
        <v>20.0</v>
      </c>
      <c r="E510" s="219" t="s">
        <v>157</v>
      </c>
      <c r="F510" s="219" t="s">
        <v>355</v>
      </c>
      <c r="G510" s="214" t="s">
        <v>392</v>
      </c>
      <c r="H510" s="221">
        <v>44156.0</v>
      </c>
      <c r="I510" s="219" t="s">
        <v>961</v>
      </c>
      <c r="J510" s="219" t="s">
        <v>271</v>
      </c>
      <c r="K510" s="219" t="s">
        <v>568</v>
      </c>
      <c r="L510" s="214" t="s">
        <v>436</v>
      </c>
      <c r="M510" s="222">
        <v>2020.0</v>
      </c>
      <c r="N510" s="214" t="s">
        <v>425</v>
      </c>
      <c r="O510" s="223">
        <v>4.0</v>
      </c>
      <c r="P510" s="224">
        <f t="shared" si="1"/>
        <v>0.470812555</v>
      </c>
      <c r="Q510" s="214" t="str">
        <f t="shared" si="2"/>
        <v>Medium</v>
      </c>
    </row>
    <row r="511" ht="15.75" customHeight="1">
      <c r="A511" s="214" t="s">
        <v>959</v>
      </c>
      <c r="B511" s="216">
        <v>3409.0</v>
      </c>
      <c r="C511" s="216">
        <v>1605.0</v>
      </c>
      <c r="D511" s="217">
        <v>20.0</v>
      </c>
      <c r="E511" s="219" t="s">
        <v>157</v>
      </c>
      <c r="F511" s="219" t="s">
        <v>355</v>
      </c>
      <c r="G511" s="214" t="s">
        <v>392</v>
      </c>
      <c r="H511" s="221">
        <v>45566.0</v>
      </c>
      <c r="I511" s="219" t="s">
        <v>962</v>
      </c>
      <c r="J511" s="219" t="s">
        <v>159</v>
      </c>
      <c r="K511" s="219" t="s">
        <v>394</v>
      </c>
      <c r="L511" s="214" t="s">
        <v>485</v>
      </c>
      <c r="M511" s="222">
        <v>2024.0</v>
      </c>
      <c r="N511" s="214" t="s">
        <v>414</v>
      </c>
      <c r="O511" s="223">
        <v>4.0</v>
      </c>
      <c r="P511" s="224">
        <f t="shared" si="1"/>
        <v>0.470812555</v>
      </c>
      <c r="Q511" s="214" t="str">
        <f t="shared" si="2"/>
        <v>Medium</v>
      </c>
    </row>
    <row r="512" ht="15.75" customHeight="1">
      <c r="A512" s="214" t="s">
        <v>959</v>
      </c>
      <c r="B512" s="216">
        <v>3409.0</v>
      </c>
      <c r="C512" s="216">
        <v>1605.0</v>
      </c>
      <c r="D512" s="217">
        <v>20.0</v>
      </c>
      <c r="E512" s="219" t="s">
        <v>157</v>
      </c>
      <c r="F512" s="219" t="s">
        <v>355</v>
      </c>
      <c r="G512" s="214" t="s">
        <v>392</v>
      </c>
      <c r="H512" s="221">
        <v>45474.0</v>
      </c>
      <c r="I512" s="219" t="s">
        <v>963</v>
      </c>
      <c r="J512" s="219" t="s">
        <v>241</v>
      </c>
      <c r="K512" s="219" t="s">
        <v>541</v>
      </c>
      <c r="L512" s="214" t="s">
        <v>482</v>
      </c>
      <c r="M512" s="222">
        <v>2024.0</v>
      </c>
      <c r="N512" s="214" t="s">
        <v>404</v>
      </c>
      <c r="O512" s="223">
        <v>3.0</v>
      </c>
      <c r="P512" s="224">
        <f t="shared" si="1"/>
        <v>0.470812555</v>
      </c>
      <c r="Q512" s="214" t="str">
        <f t="shared" si="2"/>
        <v>Medium</v>
      </c>
    </row>
    <row r="513" ht="15.75" customHeight="1">
      <c r="A513" s="214" t="s">
        <v>964</v>
      </c>
      <c r="B513" s="216">
        <v>9751.0</v>
      </c>
      <c r="C513" s="216">
        <v>2459.0</v>
      </c>
      <c r="D513" s="217">
        <v>13.0</v>
      </c>
      <c r="E513" s="219" t="s">
        <v>242</v>
      </c>
      <c r="F513" s="219" t="s">
        <v>356</v>
      </c>
      <c r="G513" s="214" t="s">
        <v>405</v>
      </c>
      <c r="H513" s="221">
        <v>44158.0</v>
      </c>
      <c r="I513" s="219" t="s">
        <v>965</v>
      </c>
      <c r="J513" s="219" t="s">
        <v>223</v>
      </c>
      <c r="K513" s="219" t="s">
        <v>402</v>
      </c>
      <c r="L513" s="214" t="s">
        <v>436</v>
      </c>
      <c r="M513" s="222">
        <v>2020.0</v>
      </c>
      <c r="N513" s="214" t="s">
        <v>425</v>
      </c>
      <c r="O513" s="223">
        <v>4.0</v>
      </c>
      <c r="P513" s="224">
        <f t="shared" si="1"/>
        <v>0.2521792637</v>
      </c>
      <c r="Q513" s="214" t="str">
        <f t="shared" si="2"/>
        <v>High</v>
      </c>
    </row>
    <row r="514" ht="15.75" customHeight="1">
      <c r="A514" s="214" t="s">
        <v>966</v>
      </c>
      <c r="B514" s="216">
        <v>6385.0</v>
      </c>
      <c r="C514" s="216">
        <v>2656.0</v>
      </c>
      <c r="D514" s="217">
        <v>11.0</v>
      </c>
      <c r="E514" s="219" t="s">
        <v>157</v>
      </c>
      <c r="F514" s="219" t="s">
        <v>354</v>
      </c>
      <c r="G514" s="214" t="s">
        <v>350</v>
      </c>
      <c r="H514" s="221">
        <v>45003.0</v>
      </c>
      <c r="I514" s="219" t="s">
        <v>967</v>
      </c>
      <c r="J514" s="219" t="s">
        <v>159</v>
      </c>
      <c r="K514" s="219" t="s">
        <v>409</v>
      </c>
      <c r="L514" s="214" t="s">
        <v>467</v>
      </c>
      <c r="M514" s="222">
        <v>2023.0</v>
      </c>
      <c r="N514" s="214" t="s">
        <v>433</v>
      </c>
      <c r="O514" s="223">
        <v>1.0</v>
      </c>
      <c r="P514" s="224">
        <f t="shared" si="1"/>
        <v>0.4159749413</v>
      </c>
      <c r="Q514" s="214" t="str">
        <f t="shared" si="2"/>
        <v>High</v>
      </c>
    </row>
    <row r="515" ht="15.75" customHeight="1">
      <c r="A515" s="214" t="s">
        <v>966</v>
      </c>
      <c r="B515" s="216">
        <v>6385.0</v>
      </c>
      <c r="C515" s="216">
        <v>2656.0</v>
      </c>
      <c r="D515" s="217">
        <v>11.0</v>
      </c>
      <c r="E515" s="219" t="s">
        <v>157</v>
      </c>
      <c r="F515" s="219" t="s">
        <v>354</v>
      </c>
      <c r="G515" s="214" t="s">
        <v>350</v>
      </c>
      <c r="H515" s="221">
        <v>44853.0</v>
      </c>
      <c r="I515" s="219" t="s">
        <v>968</v>
      </c>
      <c r="J515" s="219" t="s">
        <v>159</v>
      </c>
      <c r="K515" s="219" t="s">
        <v>552</v>
      </c>
      <c r="L515" s="214" t="s">
        <v>463</v>
      </c>
      <c r="M515" s="222">
        <v>2022.0</v>
      </c>
      <c r="N515" s="214" t="s">
        <v>414</v>
      </c>
      <c r="O515" s="223">
        <v>4.0</v>
      </c>
      <c r="P515" s="224">
        <f t="shared" si="1"/>
        <v>0.4159749413</v>
      </c>
      <c r="Q515" s="214" t="str">
        <f t="shared" si="2"/>
        <v>High</v>
      </c>
    </row>
    <row r="516" ht="15.75" customHeight="1">
      <c r="A516" s="214" t="s">
        <v>969</v>
      </c>
      <c r="B516" s="216">
        <v>6355.0</v>
      </c>
      <c r="C516" s="216">
        <v>1335.0</v>
      </c>
      <c r="D516" s="217">
        <v>15.0</v>
      </c>
      <c r="E516" s="219" t="s">
        <v>157</v>
      </c>
      <c r="F516" s="219" t="s">
        <v>355</v>
      </c>
      <c r="G516" s="214" t="s">
        <v>351</v>
      </c>
      <c r="H516" s="221">
        <v>45169.0</v>
      </c>
      <c r="I516" s="219" t="s">
        <v>970</v>
      </c>
      <c r="J516" s="219" t="s">
        <v>241</v>
      </c>
      <c r="K516" s="219" t="s">
        <v>504</v>
      </c>
      <c r="L516" s="214" t="s">
        <v>472</v>
      </c>
      <c r="M516" s="222">
        <v>2023.0</v>
      </c>
      <c r="N516" s="214" t="s">
        <v>523</v>
      </c>
      <c r="O516" s="223">
        <v>3.0</v>
      </c>
      <c r="P516" s="224">
        <f t="shared" si="1"/>
        <v>0.2100708104</v>
      </c>
      <c r="Q516" s="214" t="str">
        <f t="shared" si="2"/>
        <v>High</v>
      </c>
    </row>
    <row r="517" ht="15.75" customHeight="1">
      <c r="A517" s="214" t="s">
        <v>969</v>
      </c>
      <c r="B517" s="216">
        <v>6355.0</v>
      </c>
      <c r="C517" s="216">
        <v>1335.0</v>
      </c>
      <c r="D517" s="217">
        <v>15.0</v>
      </c>
      <c r="E517" s="219" t="s">
        <v>157</v>
      </c>
      <c r="F517" s="219" t="s">
        <v>355</v>
      </c>
      <c r="G517" s="214" t="s">
        <v>351</v>
      </c>
      <c r="H517" s="221">
        <v>44353.0</v>
      </c>
      <c r="I517" s="219" t="s">
        <v>971</v>
      </c>
      <c r="J517" s="219" t="s">
        <v>241</v>
      </c>
      <c r="K517" s="219" t="s">
        <v>504</v>
      </c>
      <c r="L517" s="214" t="s">
        <v>444</v>
      </c>
      <c r="M517" s="222">
        <v>2021.0</v>
      </c>
      <c r="N517" s="214" t="s">
        <v>396</v>
      </c>
      <c r="O517" s="223">
        <v>2.0</v>
      </c>
      <c r="P517" s="224">
        <f t="shared" si="1"/>
        <v>0.2100708104</v>
      </c>
      <c r="Q517" s="214" t="str">
        <f t="shared" si="2"/>
        <v>High</v>
      </c>
    </row>
    <row r="518" ht="15.75" customHeight="1">
      <c r="A518" s="214" t="s">
        <v>972</v>
      </c>
      <c r="B518" s="216">
        <v>7377.0</v>
      </c>
      <c r="C518" s="216">
        <v>320.0</v>
      </c>
      <c r="D518" s="217">
        <v>15.0</v>
      </c>
      <c r="E518" s="219" t="s">
        <v>157</v>
      </c>
      <c r="F518" s="219" t="s">
        <v>354</v>
      </c>
      <c r="G518" s="214" t="s">
        <v>351</v>
      </c>
      <c r="H518" s="221">
        <v>44916.0</v>
      </c>
      <c r="I518" s="219" t="s">
        <v>973</v>
      </c>
      <c r="J518" s="219" t="s">
        <v>241</v>
      </c>
      <c r="K518" s="219" t="s">
        <v>504</v>
      </c>
      <c r="L518" s="214" t="s">
        <v>464</v>
      </c>
      <c r="M518" s="222">
        <v>2022.0</v>
      </c>
      <c r="N518" s="214" t="s">
        <v>400</v>
      </c>
      <c r="O518" s="223">
        <v>4.0</v>
      </c>
      <c r="P518" s="224">
        <f t="shared" si="1"/>
        <v>0.04337806696</v>
      </c>
      <c r="Q518" s="214" t="str">
        <f t="shared" si="2"/>
        <v>High</v>
      </c>
    </row>
    <row r="519" ht="15.75" customHeight="1">
      <c r="A519" s="214" t="s">
        <v>972</v>
      </c>
      <c r="B519" s="216">
        <v>2054.0</v>
      </c>
      <c r="C519" s="216">
        <v>371.0</v>
      </c>
      <c r="D519" s="217">
        <v>12.0</v>
      </c>
      <c r="E519" s="219" t="s">
        <v>242</v>
      </c>
      <c r="F519" s="219" t="s">
        <v>317</v>
      </c>
      <c r="G519" s="214" t="s">
        <v>406</v>
      </c>
      <c r="H519" s="221">
        <v>44916.0</v>
      </c>
      <c r="I519" s="219" t="s">
        <v>973</v>
      </c>
      <c r="J519" s="219" t="s">
        <v>241</v>
      </c>
      <c r="K519" s="219" t="s">
        <v>504</v>
      </c>
      <c r="L519" s="214" t="s">
        <v>464</v>
      </c>
      <c r="M519" s="222">
        <v>2022.0</v>
      </c>
      <c r="N519" s="214" t="s">
        <v>400</v>
      </c>
      <c r="O519" s="223">
        <v>4.0</v>
      </c>
      <c r="P519" s="224">
        <f t="shared" si="1"/>
        <v>0.1806231743</v>
      </c>
      <c r="Q519" s="214" t="str">
        <f t="shared" si="2"/>
        <v>Medium</v>
      </c>
    </row>
    <row r="520" ht="15.75" customHeight="1">
      <c r="A520" s="214" t="s">
        <v>974</v>
      </c>
      <c r="B520" s="216">
        <v>7497.0</v>
      </c>
      <c r="C520" s="216">
        <v>319.0</v>
      </c>
      <c r="D520" s="217">
        <v>18.0</v>
      </c>
      <c r="E520" s="219" t="s">
        <v>216</v>
      </c>
      <c r="F520" s="219" t="s">
        <v>359</v>
      </c>
      <c r="G520" s="214" t="s">
        <v>405</v>
      </c>
      <c r="H520" s="221">
        <v>45334.0</v>
      </c>
      <c r="I520" s="219" t="s">
        <v>975</v>
      </c>
      <c r="J520" s="219" t="s">
        <v>271</v>
      </c>
      <c r="K520" s="219" t="s">
        <v>568</v>
      </c>
      <c r="L520" s="214" t="s">
        <v>478</v>
      </c>
      <c r="M520" s="222">
        <v>2024.0</v>
      </c>
      <c r="N520" s="214" t="s">
        <v>494</v>
      </c>
      <c r="O520" s="223">
        <v>1.0</v>
      </c>
      <c r="P520" s="224">
        <f t="shared" si="1"/>
        <v>0.04255035347</v>
      </c>
      <c r="Q520" s="214" t="str">
        <f t="shared" si="2"/>
        <v>High</v>
      </c>
    </row>
    <row r="521" ht="15.75" customHeight="1">
      <c r="A521" s="214" t="s">
        <v>976</v>
      </c>
      <c r="B521" s="216">
        <v>2565.0</v>
      </c>
      <c r="C521" s="216">
        <v>983.0</v>
      </c>
      <c r="D521" s="217">
        <v>20.0</v>
      </c>
      <c r="E521" s="219" t="s">
        <v>157</v>
      </c>
      <c r="F521" s="219" t="s">
        <v>355</v>
      </c>
      <c r="G521" s="214" t="s">
        <v>351</v>
      </c>
      <c r="H521" s="221">
        <v>44900.0</v>
      </c>
      <c r="I521" s="219" t="s">
        <v>977</v>
      </c>
      <c r="J521" s="219" t="s">
        <v>159</v>
      </c>
      <c r="K521" s="219" t="s">
        <v>394</v>
      </c>
      <c r="L521" s="214" t="s">
        <v>464</v>
      </c>
      <c r="M521" s="222">
        <v>2022.0</v>
      </c>
      <c r="N521" s="214" t="s">
        <v>400</v>
      </c>
      <c r="O521" s="223">
        <v>4.0</v>
      </c>
      <c r="P521" s="224">
        <f t="shared" si="1"/>
        <v>0.3832358674</v>
      </c>
      <c r="Q521" s="214" t="str">
        <f t="shared" si="2"/>
        <v>Medium</v>
      </c>
    </row>
    <row r="522" ht="15.75" customHeight="1">
      <c r="A522" s="214" t="s">
        <v>976</v>
      </c>
      <c r="B522" s="216">
        <v>5024.0</v>
      </c>
      <c r="C522" s="216">
        <v>1544.0</v>
      </c>
      <c r="D522" s="217">
        <v>19.0</v>
      </c>
      <c r="E522" s="219" t="s">
        <v>242</v>
      </c>
      <c r="F522" s="219" t="s">
        <v>356</v>
      </c>
      <c r="G522" s="214" t="s">
        <v>405</v>
      </c>
      <c r="H522" s="221">
        <v>44900.0</v>
      </c>
      <c r="I522" s="219" t="s">
        <v>977</v>
      </c>
      <c r="J522" s="219" t="s">
        <v>159</v>
      </c>
      <c r="K522" s="219" t="s">
        <v>394</v>
      </c>
      <c r="L522" s="214" t="s">
        <v>464</v>
      </c>
      <c r="M522" s="222">
        <v>2022.0</v>
      </c>
      <c r="N522" s="214" t="s">
        <v>400</v>
      </c>
      <c r="O522" s="223">
        <v>4.0</v>
      </c>
      <c r="P522" s="224">
        <f t="shared" si="1"/>
        <v>0.3073248408</v>
      </c>
      <c r="Q522" s="214" t="str">
        <f t="shared" si="2"/>
        <v>High</v>
      </c>
    </row>
    <row r="523" ht="15.75" customHeight="1">
      <c r="A523" s="214" t="s">
        <v>978</v>
      </c>
      <c r="B523" s="216">
        <v>8243.0</v>
      </c>
      <c r="C523" s="216">
        <v>1346.0</v>
      </c>
      <c r="D523" s="217">
        <v>15.0</v>
      </c>
      <c r="E523" s="219" t="s">
        <v>242</v>
      </c>
      <c r="F523" s="219" t="s">
        <v>362</v>
      </c>
      <c r="G523" s="214" t="s">
        <v>351</v>
      </c>
      <c r="H523" s="221">
        <v>44290.0</v>
      </c>
      <c r="I523" s="219" t="s">
        <v>979</v>
      </c>
      <c r="J523" s="219" t="s">
        <v>241</v>
      </c>
      <c r="K523" s="219" t="s">
        <v>541</v>
      </c>
      <c r="L523" s="214" t="s">
        <v>442</v>
      </c>
      <c r="M523" s="222">
        <v>2021.0</v>
      </c>
      <c r="N523" s="214" t="s">
        <v>542</v>
      </c>
      <c r="O523" s="223">
        <v>2.0</v>
      </c>
      <c r="P523" s="224">
        <f t="shared" si="1"/>
        <v>0.1632900643</v>
      </c>
      <c r="Q523" s="214" t="str">
        <f t="shared" si="2"/>
        <v>High</v>
      </c>
    </row>
    <row r="524" ht="15.75" customHeight="1">
      <c r="A524" s="214" t="s">
        <v>980</v>
      </c>
      <c r="B524" s="216">
        <v>7792.0</v>
      </c>
      <c r="C524" s="216">
        <v>1403.0</v>
      </c>
      <c r="D524" s="217">
        <v>13.0</v>
      </c>
      <c r="E524" s="219" t="s">
        <v>242</v>
      </c>
      <c r="F524" s="219" t="s">
        <v>357</v>
      </c>
      <c r="G524" s="214" t="s">
        <v>392</v>
      </c>
      <c r="H524" s="221">
        <v>44239.0</v>
      </c>
      <c r="I524" s="219" t="s">
        <v>981</v>
      </c>
      <c r="J524" s="219" t="s">
        <v>271</v>
      </c>
      <c r="K524" s="219" t="s">
        <v>568</v>
      </c>
      <c r="L524" s="214" t="s">
        <v>439</v>
      </c>
      <c r="M524" s="222">
        <v>2021.0</v>
      </c>
      <c r="N524" s="214" t="s">
        <v>494</v>
      </c>
      <c r="O524" s="223">
        <v>1.0</v>
      </c>
      <c r="P524" s="224">
        <f t="shared" si="1"/>
        <v>0.1800564682</v>
      </c>
      <c r="Q524" s="214" t="str">
        <f t="shared" si="2"/>
        <v>High</v>
      </c>
    </row>
    <row r="525" ht="15.75" customHeight="1">
      <c r="A525" s="214" t="s">
        <v>980</v>
      </c>
      <c r="B525" s="216">
        <v>7792.0</v>
      </c>
      <c r="C525" s="216">
        <v>1403.0</v>
      </c>
      <c r="D525" s="217">
        <v>13.0</v>
      </c>
      <c r="E525" s="219" t="s">
        <v>242</v>
      </c>
      <c r="F525" s="219" t="s">
        <v>357</v>
      </c>
      <c r="G525" s="214" t="s">
        <v>392</v>
      </c>
      <c r="H525" s="221">
        <v>44922.0</v>
      </c>
      <c r="I525" s="219" t="s">
        <v>982</v>
      </c>
      <c r="J525" s="219" t="s">
        <v>223</v>
      </c>
      <c r="K525" s="219" t="s">
        <v>473</v>
      </c>
      <c r="L525" s="214" t="s">
        <v>464</v>
      </c>
      <c r="M525" s="222">
        <v>2022.0</v>
      </c>
      <c r="N525" s="214" t="s">
        <v>400</v>
      </c>
      <c r="O525" s="223">
        <v>4.0</v>
      </c>
      <c r="P525" s="224">
        <f t="shared" si="1"/>
        <v>0.1800564682</v>
      </c>
      <c r="Q525" s="214" t="str">
        <f t="shared" si="2"/>
        <v>High</v>
      </c>
    </row>
    <row r="526" ht="15.75" customHeight="1">
      <c r="A526" s="214" t="s">
        <v>980</v>
      </c>
      <c r="B526" s="216">
        <v>7792.0</v>
      </c>
      <c r="C526" s="216">
        <v>1403.0</v>
      </c>
      <c r="D526" s="217">
        <v>13.0</v>
      </c>
      <c r="E526" s="219" t="s">
        <v>242</v>
      </c>
      <c r="F526" s="219" t="s">
        <v>357</v>
      </c>
      <c r="G526" s="214" t="s">
        <v>392</v>
      </c>
      <c r="H526" s="221">
        <v>45310.0</v>
      </c>
      <c r="I526" s="219" t="s">
        <v>983</v>
      </c>
      <c r="J526" s="219" t="s">
        <v>117</v>
      </c>
      <c r="K526" s="219" t="s">
        <v>496</v>
      </c>
      <c r="L526" s="214" t="s">
        <v>477</v>
      </c>
      <c r="M526" s="222">
        <v>2024.0</v>
      </c>
      <c r="N526" s="214" t="s">
        <v>497</v>
      </c>
      <c r="O526" s="223">
        <v>1.0</v>
      </c>
      <c r="P526" s="224">
        <f t="shared" si="1"/>
        <v>0.1800564682</v>
      </c>
      <c r="Q526" s="214" t="str">
        <f t="shared" si="2"/>
        <v>High</v>
      </c>
    </row>
    <row r="527" ht="15.75" customHeight="1">
      <c r="A527" s="214" t="s">
        <v>980</v>
      </c>
      <c r="B527" s="216">
        <v>2346.0</v>
      </c>
      <c r="C527" s="216">
        <v>388.0</v>
      </c>
      <c r="D527" s="217">
        <v>14.0</v>
      </c>
      <c r="E527" s="219" t="s">
        <v>216</v>
      </c>
      <c r="F527" s="219" t="s">
        <v>359</v>
      </c>
      <c r="G527" s="214" t="s">
        <v>351</v>
      </c>
      <c r="H527" s="221">
        <v>44239.0</v>
      </c>
      <c r="I527" s="219" t="s">
        <v>981</v>
      </c>
      <c r="J527" s="219" t="s">
        <v>271</v>
      </c>
      <c r="K527" s="219" t="s">
        <v>568</v>
      </c>
      <c r="L527" s="214" t="s">
        <v>439</v>
      </c>
      <c r="M527" s="222">
        <v>2021.0</v>
      </c>
      <c r="N527" s="214" t="s">
        <v>494</v>
      </c>
      <c r="O527" s="223">
        <v>1.0</v>
      </c>
      <c r="P527" s="224">
        <f t="shared" si="1"/>
        <v>0.1653878943</v>
      </c>
      <c r="Q527" s="214" t="str">
        <f t="shared" si="2"/>
        <v>Medium</v>
      </c>
    </row>
    <row r="528" ht="15.75" customHeight="1">
      <c r="A528" s="214" t="s">
        <v>980</v>
      </c>
      <c r="B528" s="216">
        <v>2346.0</v>
      </c>
      <c r="C528" s="216">
        <v>388.0</v>
      </c>
      <c r="D528" s="217">
        <v>14.0</v>
      </c>
      <c r="E528" s="219" t="s">
        <v>216</v>
      </c>
      <c r="F528" s="219" t="s">
        <v>359</v>
      </c>
      <c r="G528" s="214" t="s">
        <v>351</v>
      </c>
      <c r="H528" s="221">
        <v>44922.0</v>
      </c>
      <c r="I528" s="219" t="s">
        <v>982</v>
      </c>
      <c r="J528" s="219" t="s">
        <v>223</v>
      </c>
      <c r="K528" s="219" t="s">
        <v>473</v>
      </c>
      <c r="L528" s="214" t="s">
        <v>464</v>
      </c>
      <c r="M528" s="222">
        <v>2022.0</v>
      </c>
      <c r="N528" s="214" t="s">
        <v>400</v>
      </c>
      <c r="O528" s="223">
        <v>4.0</v>
      </c>
      <c r="P528" s="224">
        <f t="shared" si="1"/>
        <v>0.1653878943</v>
      </c>
      <c r="Q528" s="214" t="str">
        <f t="shared" si="2"/>
        <v>Medium</v>
      </c>
    </row>
    <row r="529" ht="15.75" customHeight="1">
      <c r="A529" s="214" t="s">
        <v>980</v>
      </c>
      <c r="B529" s="216">
        <v>2346.0</v>
      </c>
      <c r="C529" s="216">
        <v>388.0</v>
      </c>
      <c r="D529" s="217">
        <v>14.0</v>
      </c>
      <c r="E529" s="219" t="s">
        <v>216</v>
      </c>
      <c r="F529" s="219" t="s">
        <v>359</v>
      </c>
      <c r="G529" s="214" t="s">
        <v>351</v>
      </c>
      <c r="H529" s="221">
        <v>45310.0</v>
      </c>
      <c r="I529" s="219" t="s">
        <v>983</v>
      </c>
      <c r="J529" s="219" t="s">
        <v>117</v>
      </c>
      <c r="K529" s="219" t="s">
        <v>496</v>
      </c>
      <c r="L529" s="214" t="s">
        <v>477</v>
      </c>
      <c r="M529" s="222">
        <v>2024.0</v>
      </c>
      <c r="N529" s="214" t="s">
        <v>497</v>
      </c>
      <c r="O529" s="223">
        <v>1.0</v>
      </c>
      <c r="P529" s="224">
        <f t="shared" si="1"/>
        <v>0.1653878943</v>
      </c>
      <c r="Q529" s="214" t="str">
        <f t="shared" si="2"/>
        <v>Medium</v>
      </c>
    </row>
    <row r="530" ht="15.75" customHeight="1">
      <c r="A530" s="214" t="s">
        <v>984</v>
      </c>
      <c r="B530" s="216">
        <v>7346.0</v>
      </c>
      <c r="C530" s="216">
        <v>1043.0</v>
      </c>
      <c r="D530" s="217">
        <v>10.0</v>
      </c>
      <c r="E530" s="219" t="s">
        <v>216</v>
      </c>
      <c r="F530" s="219" t="s">
        <v>347</v>
      </c>
      <c r="G530" s="214" t="s">
        <v>350</v>
      </c>
      <c r="H530" s="221">
        <v>44920.0</v>
      </c>
      <c r="I530" s="219" t="s">
        <v>985</v>
      </c>
      <c r="J530" s="219" t="s">
        <v>313</v>
      </c>
      <c r="K530" s="219" t="s">
        <v>512</v>
      </c>
      <c r="L530" s="214" t="s">
        <v>464</v>
      </c>
      <c r="M530" s="222">
        <v>2022.0</v>
      </c>
      <c r="N530" s="214" t="s">
        <v>400</v>
      </c>
      <c r="O530" s="223">
        <v>4.0</v>
      </c>
      <c r="P530" s="224">
        <f t="shared" si="1"/>
        <v>0.141982031</v>
      </c>
      <c r="Q530" s="214" t="str">
        <f t="shared" si="2"/>
        <v>High</v>
      </c>
    </row>
    <row r="531" ht="15.75" customHeight="1">
      <c r="A531" s="214" t="s">
        <v>984</v>
      </c>
      <c r="B531" s="216">
        <v>9770.0</v>
      </c>
      <c r="C531" s="216">
        <v>4132.0</v>
      </c>
      <c r="D531" s="217">
        <v>7.0</v>
      </c>
      <c r="E531" s="219" t="s">
        <v>157</v>
      </c>
      <c r="F531" s="219" t="s">
        <v>355</v>
      </c>
      <c r="G531" s="214" t="s">
        <v>392</v>
      </c>
      <c r="H531" s="221">
        <v>44920.0</v>
      </c>
      <c r="I531" s="219" t="s">
        <v>985</v>
      </c>
      <c r="J531" s="219" t="s">
        <v>313</v>
      </c>
      <c r="K531" s="219" t="s">
        <v>512</v>
      </c>
      <c r="L531" s="214" t="s">
        <v>464</v>
      </c>
      <c r="M531" s="222">
        <v>2022.0</v>
      </c>
      <c r="N531" s="214" t="s">
        <v>400</v>
      </c>
      <c r="O531" s="223">
        <v>4.0</v>
      </c>
      <c r="P531" s="224">
        <f t="shared" si="1"/>
        <v>0.4229273286</v>
      </c>
      <c r="Q531" s="214" t="str">
        <f t="shared" si="2"/>
        <v>High</v>
      </c>
    </row>
    <row r="532" ht="15.75" customHeight="1">
      <c r="A532" s="214" t="s">
        <v>984</v>
      </c>
      <c r="B532" s="216">
        <v>7179.0</v>
      </c>
      <c r="C532" s="216">
        <v>683.0</v>
      </c>
      <c r="D532" s="217">
        <v>13.0</v>
      </c>
      <c r="E532" s="219" t="s">
        <v>157</v>
      </c>
      <c r="F532" s="219" t="s">
        <v>360</v>
      </c>
      <c r="G532" s="214" t="s">
        <v>350</v>
      </c>
      <c r="H532" s="221">
        <v>44920.0</v>
      </c>
      <c r="I532" s="219" t="s">
        <v>985</v>
      </c>
      <c r="J532" s="219" t="s">
        <v>313</v>
      </c>
      <c r="K532" s="219" t="s">
        <v>512</v>
      </c>
      <c r="L532" s="214" t="s">
        <v>464</v>
      </c>
      <c r="M532" s="222">
        <v>2022.0</v>
      </c>
      <c r="N532" s="214" t="s">
        <v>400</v>
      </c>
      <c r="O532" s="223">
        <v>4.0</v>
      </c>
      <c r="P532" s="224">
        <f t="shared" si="1"/>
        <v>0.09513859869</v>
      </c>
      <c r="Q532" s="214" t="str">
        <f t="shared" si="2"/>
        <v>High</v>
      </c>
    </row>
    <row r="533" ht="15.75" customHeight="1">
      <c r="A533" s="214" t="s">
        <v>986</v>
      </c>
      <c r="B533" s="216">
        <v>5449.0</v>
      </c>
      <c r="C533" s="216">
        <v>2389.0</v>
      </c>
      <c r="D533" s="217">
        <v>2.0</v>
      </c>
      <c r="E533" s="219" t="s">
        <v>157</v>
      </c>
      <c r="F533" s="219" t="s">
        <v>358</v>
      </c>
      <c r="G533" s="214" t="s">
        <v>392</v>
      </c>
      <c r="H533" s="221">
        <v>44840.0</v>
      </c>
      <c r="I533" s="219" t="s">
        <v>987</v>
      </c>
      <c r="J533" s="219" t="s">
        <v>159</v>
      </c>
      <c r="K533" s="219" t="s">
        <v>394</v>
      </c>
      <c r="L533" s="214" t="s">
        <v>463</v>
      </c>
      <c r="M533" s="222">
        <v>2022.0</v>
      </c>
      <c r="N533" s="214" t="s">
        <v>414</v>
      </c>
      <c r="O533" s="223">
        <v>4.0</v>
      </c>
      <c r="P533" s="224">
        <f t="shared" si="1"/>
        <v>0.4384290696</v>
      </c>
      <c r="Q533" s="214" t="str">
        <f t="shared" si="2"/>
        <v>High</v>
      </c>
    </row>
    <row r="534" ht="15.75" customHeight="1">
      <c r="A534" s="214" t="s">
        <v>988</v>
      </c>
      <c r="B534" s="216">
        <v>2895.0</v>
      </c>
      <c r="C534" s="216">
        <v>104.0</v>
      </c>
      <c r="D534" s="217">
        <v>6.0</v>
      </c>
      <c r="E534" s="219" t="s">
        <v>216</v>
      </c>
      <c r="F534" s="219" t="s">
        <v>359</v>
      </c>
      <c r="G534" s="214" t="s">
        <v>405</v>
      </c>
      <c r="H534" s="221">
        <v>43948.0</v>
      </c>
      <c r="I534" s="219" t="s">
        <v>989</v>
      </c>
      <c r="J534" s="219" t="s">
        <v>223</v>
      </c>
      <c r="K534" s="219" t="s">
        <v>402</v>
      </c>
      <c r="L534" s="214" t="s">
        <v>418</v>
      </c>
      <c r="M534" s="222">
        <v>2020.0</v>
      </c>
      <c r="N534" s="214" t="s">
        <v>542</v>
      </c>
      <c r="O534" s="223">
        <v>2.0</v>
      </c>
      <c r="P534" s="224">
        <f t="shared" si="1"/>
        <v>0.03592400691</v>
      </c>
      <c r="Q534" s="214" t="str">
        <f t="shared" si="2"/>
        <v>Medium</v>
      </c>
    </row>
    <row r="535" ht="15.75" customHeight="1">
      <c r="A535" s="214" t="s">
        <v>988</v>
      </c>
      <c r="B535" s="216">
        <v>2895.0</v>
      </c>
      <c r="C535" s="216">
        <v>104.0</v>
      </c>
      <c r="D535" s="217">
        <v>6.0</v>
      </c>
      <c r="E535" s="219" t="s">
        <v>216</v>
      </c>
      <c r="F535" s="219" t="s">
        <v>359</v>
      </c>
      <c r="G535" s="214" t="s">
        <v>405</v>
      </c>
      <c r="H535" s="221">
        <v>45425.0</v>
      </c>
      <c r="I535" s="219" t="s">
        <v>990</v>
      </c>
      <c r="J535" s="219" t="s">
        <v>241</v>
      </c>
      <c r="K535" s="219" t="s">
        <v>541</v>
      </c>
      <c r="L535" s="214" t="s">
        <v>410</v>
      </c>
      <c r="M535" s="222">
        <v>2024.0</v>
      </c>
      <c r="N535" s="214" t="s">
        <v>411</v>
      </c>
      <c r="O535" s="223">
        <v>2.0</v>
      </c>
      <c r="P535" s="224">
        <f t="shared" si="1"/>
        <v>0.03592400691</v>
      </c>
      <c r="Q535" s="214" t="str">
        <f t="shared" si="2"/>
        <v>Medium</v>
      </c>
    </row>
    <row r="536" ht="15.75" customHeight="1">
      <c r="A536" s="214" t="s">
        <v>988</v>
      </c>
      <c r="B536" s="216">
        <v>697.0</v>
      </c>
      <c r="C536" s="216">
        <v>116.0</v>
      </c>
      <c r="D536" s="217">
        <v>1.0</v>
      </c>
      <c r="E536" s="219" t="s">
        <v>216</v>
      </c>
      <c r="F536" s="219" t="s">
        <v>359</v>
      </c>
      <c r="G536" s="214" t="s">
        <v>392</v>
      </c>
      <c r="H536" s="221">
        <v>43948.0</v>
      </c>
      <c r="I536" s="219" t="s">
        <v>989</v>
      </c>
      <c r="J536" s="219" t="s">
        <v>223</v>
      </c>
      <c r="K536" s="219" t="s">
        <v>402</v>
      </c>
      <c r="L536" s="214" t="s">
        <v>418</v>
      </c>
      <c r="M536" s="222">
        <v>2020.0</v>
      </c>
      <c r="N536" s="214" t="s">
        <v>542</v>
      </c>
      <c r="O536" s="223">
        <v>2.0</v>
      </c>
      <c r="P536" s="224">
        <f t="shared" si="1"/>
        <v>0.1664275466</v>
      </c>
      <c r="Q536" s="214" t="str">
        <f t="shared" si="2"/>
        <v>Medium</v>
      </c>
    </row>
    <row r="537" ht="15.75" customHeight="1">
      <c r="A537" s="214" t="s">
        <v>988</v>
      </c>
      <c r="B537" s="216">
        <v>697.0</v>
      </c>
      <c r="C537" s="216">
        <v>116.0</v>
      </c>
      <c r="D537" s="217">
        <v>1.0</v>
      </c>
      <c r="E537" s="219" t="s">
        <v>216</v>
      </c>
      <c r="F537" s="219" t="s">
        <v>359</v>
      </c>
      <c r="G537" s="214" t="s">
        <v>392</v>
      </c>
      <c r="H537" s="221">
        <v>45425.0</v>
      </c>
      <c r="I537" s="219" t="s">
        <v>990</v>
      </c>
      <c r="J537" s="219" t="s">
        <v>241</v>
      </c>
      <c r="K537" s="219" t="s">
        <v>541</v>
      </c>
      <c r="L537" s="214" t="s">
        <v>410</v>
      </c>
      <c r="M537" s="222">
        <v>2024.0</v>
      </c>
      <c r="N537" s="214" t="s">
        <v>411</v>
      </c>
      <c r="O537" s="223">
        <v>2.0</v>
      </c>
      <c r="P537" s="224">
        <f t="shared" si="1"/>
        <v>0.1664275466</v>
      </c>
      <c r="Q537" s="214" t="str">
        <f t="shared" si="2"/>
        <v>Medium</v>
      </c>
    </row>
    <row r="538" ht="15.75" customHeight="1">
      <c r="A538" s="214" t="s">
        <v>991</v>
      </c>
      <c r="B538" s="216">
        <v>6145.0</v>
      </c>
      <c r="C538" s="216">
        <v>1414.0</v>
      </c>
      <c r="D538" s="217">
        <v>4.0</v>
      </c>
      <c r="E538" s="219" t="s">
        <v>216</v>
      </c>
      <c r="F538" s="219" t="s">
        <v>359</v>
      </c>
      <c r="G538" s="214" t="s">
        <v>405</v>
      </c>
      <c r="H538" s="221">
        <v>44127.0</v>
      </c>
      <c r="I538" s="219" t="s">
        <v>992</v>
      </c>
      <c r="J538" s="219" t="s">
        <v>117</v>
      </c>
      <c r="K538" s="219" t="s">
        <v>423</v>
      </c>
      <c r="L538" s="214" t="s">
        <v>435</v>
      </c>
      <c r="M538" s="222">
        <v>2020.0</v>
      </c>
      <c r="N538" s="214" t="s">
        <v>414</v>
      </c>
      <c r="O538" s="223">
        <v>4.0</v>
      </c>
      <c r="P538" s="224">
        <f t="shared" si="1"/>
        <v>0.2301057771</v>
      </c>
      <c r="Q538" s="214" t="str">
        <f t="shared" si="2"/>
        <v>High</v>
      </c>
    </row>
    <row r="539" ht="15.75" customHeight="1">
      <c r="A539" s="214" t="s">
        <v>991</v>
      </c>
      <c r="B539" s="216">
        <v>2504.0</v>
      </c>
      <c r="C539" s="216">
        <v>440.0</v>
      </c>
      <c r="D539" s="217">
        <v>18.0</v>
      </c>
      <c r="E539" s="219" t="s">
        <v>157</v>
      </c>
      <c r="F539" s="219" t="s">
        <v>354</v>
      </c>
      <c r="G539" s="214" t="s">
        <v>392</v>
      </c>
      <c r="H539" s="221">
        <v>44127.0</v>
      </c>
      <c r="I539" s="219" t="s">
        <v>992</v>
      </c>
      <c r="J539" s="219" t="s">
        <v>117</v>
      </c>
      <c r="K539" s="219" t="s">
        <v>423</v>
      </c>
      <c r="L539" s="214" t="s">
        <v>435</v>
      </c>
      <c r="M539" s="222">
        <v>2020.0</v>
      </c>
      <c r="N539" s="214" t="s">
        <v>414</v>
      </c>
      <c r="O539" s="223">
        <v>4.0</v>
      </c>
      <c r="P539" s="224">
        <f t="shared" si="1"/>
        <v>0.1757188498</v>
      </c>
      <c r="Q539" s="214" t="str">
        <f t="shared" si="2"/>
        <v>Medium</v>
      </c>
    </row>
    <row r="540" ht="15.75" customHeight="1">
      <c r="A540" s="214" t="s">
        <v>991</v>
      </c>
      <c r="B540" s="216">
        <v>3124.0</v>
      </c>
      <c r="C540" s="216">
        <v>138.0</v>
      </c>
      <c r="D540" s="217">
        <v>16.0</v>
      </c>
      <c r="E540" s="219" t="s">
        <v>157</v>
      </c>
      <c r="F540" s="219" t="s">
        <v>358</v>
      </c>
      <c r="G540" s="214" t="s">
        <v>351</v>
      </c>
      <c r="H540" s="221">
        <v>44127.0</v>
      </c>
      <c r="I540" s="219" t="s">
        <v>992</v>
      </c>
      <c r="J540" s="219" t="s">
        <v>117</v>
      </c>
      <c r="K540" s="219" t="s">
        <v>423</v>
      </c>
      <c r="L540" s="214" t="s">
        <v>435</v>
      </c>
      <c r="M540" s="222">
        <v>2020.0</v>
      </c>
      <c r="N540" s="214" t="s">
        <v>414</v>
      </c>
      <c r="O540" s="223">
        <v>4.0</v>
      </c>
      <c r="P540" s="224">
        <f t="shared" si="1"/>
        <v>0.04417413572</v>
      </c>
      <c r="Q540" s="214" t="str">
        <f t="shared" si="2"/>
        <v>Medium</v>
      </c>
    </row>
    <row r="541" ht="15.75" customHeight="1">
      <c r="A541" s="214" t="s">
        <v>993</v>
      </c>
      <c r="B541" s="216">
        <v>6934.0</v>
      </c>
      <c r="C541" s="216">
        <v>1226.0</v>
      </c>
      <c r="D541" s="217">
        <v>1.0</v>
      </c>
      <c r="E541" s="219" t="s">
        <v>157</v>
      </c>
      <c r="F541" s="219" t="s">
        <v>355</v>
      </c>
      <c r="G541" s="214" t="s">
        <v>351</v>
      </c>
      <c r="H541" s="221">
        <v>44358.0</v>
      </c>
      <c r="I541" s="219" t="s">
        <v>994</v>
      </c>
      <c r="J541" s="219" t="s">
        <v>313</v>
      </c>
      <c r="K541" s="219" t="s">
        <v>518</v>
      </c>
      <c r="L541" s="214" t="s">
        <v>444</v>
      </c>
      <c r="M541" s="222">
        <v>2021.0</v>
      </c>
      <c r="N541" s="214" t="s">
        <v>396</v>
      </c>
      <c r="O541" s="223">
        <v>2.0</v>
      </c>
      <c r="P541" s="224">
        <f t="shared" si="1"/>
        <v>0.1768099221</v>
      </c>
      <c r="Q541" s="214" t="str">
        <f t="shared" si="2"/>
        <v>High</v>
      </c>
    </row>
    <row r="542" ht="15.75" customHeight="1">
      <c r="A542" s="214" t="s">
        <v>993</v>
      </c>
      <c r="B542" s="216">
        <v>6934.0</v>
      </c>
      <c r="C542" s="216">
        <v>1226.0</v>
      </c>
      <c r="D542" s="217">
        <v>1.0</v>
      </c>
      <c r="E542" s="219" t="s">
        <v>157</v>
      </c>
      <c r="F542" s="219" t="s">
        <v>355</v>
      </c>
      <c r="G542" s="214" t="s">
        <v>351</v>
      </c>
      <c r="H542" s="221">
        <v>44447.0</v>
      </c>
      <c r="I542" s="219" t="s">
        <v>965</v>
      </c>
      <c r="J542" s="219" t="s">
        <v>223</v>
      </c>
      <c r="K542" s="219" t="s">
        <v>473</v>
      </c>
      <c r="L542" s="214" t="s">
        <v>450</v>
      </c>
      <c r="M542" s="222">
        <v>2021.0</v>
      </c>
      <c r="N542" s="214" t="s">
        <v>536</v>
      </c>
      <c r="O542" s="223">
        <v>3.0</v>
      </c>
      <c r="P542" s="224">
        <f t="shared" si="1"/>
        <v>0.1768099221</v>
      </c>
      <c r="Q542" s="214" t="str">
        <f t="shared" si="2"/>
        <v>High</v>
      </c>
    </row>
    <row r="543" ht="15.75" customHeight="1">
      <c r="A543" s="214" t="s">
        <v>995</v>
      </c>
      <c r="B543" s="216">
        <v>4202.0</v>
      </c>
      <c r="C543" s="216">
        <v>1171.0</v>
      </c>
      <c r="D543" s="217">
        <v>3.0</v>
      </c>
      <c r="E543" s="219" t="s">
        <v>242</v>
      </c>
      <c r="F543" s="219" t="s">
        <v>317</v>
      </c>
      <c r="G543" s="214" t="s">
        <v>405</v>
      </c>
      <c r="H543" s="221">
        <v>44888.0</v>
      </c>
      <c r="I543" s="219" t="s">
        <v>996</v>
      </c>
      <c r="J543" s="219" t="s">
        <v>271</v>
      </c>
      <c r="K543" s="219" t="s">
        <v>568</v>
      </c>
      <c r="L543" s="214" t="s">
        <v>424</v>
      </c>
      <c r="M543" s="222">
        <v>2022.0</v>
      </c>
      <c r="N543" s="214" t="s">
        <v>425</v>
      </c>
      <c r="O543" s="223">
        <v>4.0</v>
      </c>
      <c r="P543" s="224">
        <f t="shared" si="1"/>
        <v>0.2786768206</v>
      </c>
      <c r="Q543" s="214" t="str">
        <f t="shared" si="2"/>
        <v>Medium</v>
      </c>
    </row>
    <row r="544" ht="15.75" customHeight="1">
      <c r="A544" s="214" t="s">
        <v>995</v>
      </c>
      <c r="B544" s="216">
        <v>4202.0</v>
      </c>
      <c r="C544" s="216">
        <v>1171.0</v>
      </c>
      <c r="D544" s="217">
        <v>3.0</v>
      </c>
      <c r="E544" s="219" t="s">
        <v>242</v>
      </c>
      <c r="F544" s="219" t="s">
        <v>317</v>
      </c>
      <c r="G544" s="214" t="s">
        <v>405</v>
      </c>
      <c r="H544" s="221">
        <v>44865.0</v>
      </c>
      <c r="I544" s="219" t="s">
        <v>997</v>
      </c>
      <c r="J544" s="219" t="s">
        <v>223</v>
      </c>
      <c r="K544" s="219" t="s">
        <v>473</v>
      </c>
      <c r="L544" s="214" t="s">
        <v>463</v>
      </c>
      <c r="M544" s="222">
        <v>2022.0</v>
      </c>
      <c r="N544" s="214" t="s">
        <v>414</v>
      </c>
      <c r="O544" s="223">
        <v>4.0</v>
      </c>
      <c r="P544" s="224">
        <f t="shared" si="1"/>
        <v>0.2786768206</v>
      </c>
      <c r="Q544" s="214" t="str">
        <f t="shared" si="2"/>
        <v>Medium</v>
      </c>
    </row>
    <row r="545" ht="15.75" customHeight="1">
      <c r="A545" s="214" t="s">
        <v>995</v>
      </c>
      <c r="B545" s="216">
        <v>4202.0</v>
      </c>
      <c r="C545" s="216">
        <v>1171.0</v>
      </c>
      <c r="D545" s="217">
        <v>3.0</v>
      </c>
      <c r="E545" s="219" t="s">
        <v>242</v>
      </c>
      <c r="F545" s="219" t="s">
        <v>317</v>
      </c>
      <c r="G545" s="214" t="s">
        <v>405</v>
      </c>
      <c r="H545" s="221">
        <v>45236.0</v>
      </c>
      <c r="I545" s="219" t="s">
        <v>998</v>
      </c>
      <c r="J545" s="219" t="s">
        <v>159</v>
      </c>
      <c r="K545" s="219" t="s">
        <v>552</v>
      </c>
      <c r="L545" s="214" t="s">
        <v>429</v>
      </c>
      <c r="M545" s="222">
        <v>2023.0</v>
      </c>
      <c r="N545" s="214" t="s">
        <v>425</v>
      </c>
      <c r="O545" s="223">
        <v>4.0</v>
      </c>
      <c r="P545" s="224">
        <f t="shared" si="1"/>
        <v>0.2786768206</v>
      </c>
      <c r="Q545" s="214" t="str">
        <f t="shared" si="2"/>
        <v>Medium</v>
      </c>
    </row>
    <row r="546" ht="15.75" customHeight="1">
      <c r="A546" s="214" t="s">
        <v>995</v>
      </c>
      <c r="B546" s="216">
        <v>4202.0</v>
      </c>
      <c r="C546" s="216">
        <v>1171.0</v>
      </c>
      <c r="D546" s="217">
        <v>3.0</v>
      </c>
      <c r="E546" s="219" t="s">
        <v>242</v>
      </c>
      <c r="F546" s="219" t="s">
        <v>317</v>
      </c>
      <c r="G546" s="214" t="s">
        <v>405</v>
      </c>
      <c r="H546" s="221">
        <v>45242.0</v>
      </c>
      <c r="I546" s="219" t="s">
        <v>999</v>
      </c>
      <c r="J546" s="219" t="s">
        <v>241</v>
      </c>
      <c r="K546" s="219" t="s">
        <v>541</v>
      </c>
      <c r="L546" s="214" t="s">
        <v>429</v>
      </c>
      <c r="M546" s="222">
        <v>2023.0</v>
      </c>
      <c r="N546" s="214" t="s">
        <v>425</v>
      </c>
      <c r="O546" s="223">
        <v>4.0</v>
      </c>
      <c r="P546" s="224">
        <f t="shared" si="1"/>
        <v>0.2786768206</v>
      </c>
      <c r="Q546" s="214" t="str">
        <f t="shared" si="2"/>
        <v>Medium</v>
      </c>
    </row>
    <row r="547" ht="15.75" customHeight="1">
      <c r="A547" s="214" t="s">
        <v>1000</v>
      </c>
      <c r="B547" s="216">
        <v>2239.0</v>
      </c>
      <c r="C547" s="216">
        <v>828.0</v>
      </c>
      <c r="D547" s="217">
        <v>1.0</v>
      </c>
      <c r="E547" s="219" t="s">
        <v>157</v>
      </c>
      <c r="F547" s="219" t="s">
        <v>354</v>
      </c>
      <c r="G547" s="214" t="s">
        <v>392</v>
      </c>
      <c r="H547" s="221">
        <v>45103.0</v>
      </c>
      <c r="I547" s="219" t="s">
        <v>1001</v>
      </c>
      <c r="J547" s="219" t="s">
        <v>117</v>
      </c>
      <c r="K547" s="219" t="s">
        <v>423</v>
      </c>
      <c r="L547" s="214" t="s">
        <v>395</v>
      </c>
      <c r="M547" s="222">
        <v>2023.0</v>
      </c>
      <c r="N547" s="214" t="s">
        <v>396</v>
      </c>
      <c r="O547" s="223">
        <v>2.0</v>
      </c>
      <c r="P547" s="224">
        <f t="shared" si="1"/>
        <v>0.36980795</v>
      </c>
      <c r="Q547" s="214" t="str">
        <f t="shared" si="2"/>
        <v>Medium</v>
      </c>
    </row>
    <row r="548" ht="15.75" customHeight="1">
      <c r="A548" s="214" t="s">
        <v>1000</v>
      </c>
      <c r="B548" s="216">
        <v>2239.0</v>
      </c>
      <c r="C548" s="216">
        <v>828.0</v>
      </c>
      <c r="D548" s="217">
        <v>1.0</v>
      </c>
      <c r="E548" s="219" t="s">
        <v>157</v>
      </c>
      <c r="F548" s="219" t="s">
        <v>354</v>
      </c>
      <c r="G548" s="214" t="s">
        <v>392</v>
      </c>
      <c r="H548" s="221">
        <v>45199.0</v>
      </c>
      <c r="I548" s="219" t="s">
        <v>1002</v>
      </c>
      <c r="J548" s="219" t="s">
        <v>271</v>
      </c>
      <c r="K548" s="219" t="s">
        <v>398</v>
      </c>
      <c r="L548" s="214" t="s">
        <v>474</v>
      </c>
      <c r="M548" s="222">
        <v>2023.0</v>
      </c>
      <c r="N548" s="214" t="s">
        <v>536</v>
      </c>
      <c r="O548" s="223">
        <v>3.0</v>
      </c>
      <c r="P548" s="224">
        <f t="shared" si="1"/>
        <v>0.36980795</v>
      </c>
      <c r="Q548" s="214" t="str">
        <f t="shared" si="2"/>
        <v>Medium</v>
      </c>
    </row>
    <row r="549" ht="15.75" customHeight="1">
      <c r="A549" s="214" t="s">
        <v>1000</v>
      </c>
      <c r="B549" s="216">
        <v>2450.0</v>
      </c>
      <c r="C549" s="216">
        <v>1002.0</v>
      </c>
      <c r="D549" s="217">
        <v>4.0</v>
      </c>
      <c r="E549" s="219" t="s">
        <v>157</v>
      </c>
      <c r="F549" s="219" t="s">
        <v>358</v>
      </c>
      <c r="G549" s="214" t="s">
        <v>351</v>
      </c>
      <c r="H549" s="221">
        <v>45103.0</v>
      </c>
      <c r="I549" s="219" t="s">
        <v>1001</v>
      </c>
      <c r="J549" s="219" t="s">
        <v>117</v>
      </c>
      <c r="K549" s="219" t="s">
        <v>423</v>
      </c>
      <c r="L549" s="214" t="s">
        <v>395</v>
      </c>
      <c r="M549" s="222">
        <v>2023.0</v>
      </c>
      <c r="N549" s="214" t="s">
        <v>396</v>
      </c>
      <c r="O549" s="223">
        <v>2.0</v>
      </c>
      <c r="P549" s="224">
        <f t="shared" si="1"/>
        <v>0.4089795918</v>
      </c>
      <c r="Q549" s="214" t="str">
        <f t="shared" si="2"/>
        <v>Medium</v>
      </c>
    </row>
    <row r="550" ht="15.75" customHeight="1">
      <c r="A550" s="214" t="s">
        <v>1000</v>
      </c>
      <c r="B550" s="216">
        <v>2450.0</v>
      </c>
      <c r="C550" s="216">
        <v>1002.0</v>
      </c>
      <c r="D550" s="217">
        <v>4.0</v>
      </c>
      <c r="E550" s="219" t="s">
        <v>157</v>
      </c>
      <c r="F550" s="219" t="s">
        <v>358</v>
      </c>
      <c r="G550" s="214" t="s">
        <v>351</v>
      </c>
      <c r="H550" s="221">
        <v>45199.0</v>
      </c>
      <c r="I550" s="219" t="s">
        <v>1002</v>
      </c>
      <c r="J550" s="219" t="s">
        <v>271</v>
      </c>
      <c r="K550" s="219" t="s">
        <v>398</v>
      </c>
      <c r="L550" s="214" t="s">
        <v>474</v>
      </c>
      <c r="M550" s="222">
        <v>2023.0</v>
      </c>
      <c r="N550" s="214" t="s">
        <v>536</v>
      </c>
      <c r="O550" s="223">
        <v>3.0</v>
      </c>
      <c r="P550" s="224">
        <f t="shared" si="1"/>
        <v>0.4089795918</v>
      </c>
      <c r="Q550" s="214" t="str">
        <f t="shared" si="2"/>
        <v>Medium</v>
      </c>
    </row>
    <row r="551" ht="15.75" customHeight="1">
      <c r="A551" s="214" t="s">
        <v>1003</v>
      </c>
      <c r="B551" s="216">
        <v>9827.0</v>
      </c>
      <c r="C551" s="216">
        <v>4208.0</v>
      </c>
      <c r="D551" s="217">
        <v>13.0</v>
      </c>
      <c r="E551" s="219" t="s">
        <v>216</v>
      </c>
      <c r="F551" s="219" t="s">
        <v>359</v>
      </c>
      <c r="G551" s="214" t="s">
        <v>351</v>
      </c>
      <c r="H551" s="221">
        <v>44086.0</v>
      </c>
      <c r="I551" s="219" t="s">
        <v>1004</v>
      </c>
      <c r="J551" s="219" t="s">
        <v>223</v>
      </c>
      <c r="K551" s="219" t="s">
        <v>428</v>
      </c>
      <c r="L551" s="214" t="s">
        <v>434</v>
      </c>
      <c r="M551" s="222">
        <v>2020.0</v>
      </c>
      <c r="N551" s="214" t="s">
        <v>536</v>
      </c>
      <c r="O551" s="223">
        <v>3.0</v>
      </c>
      <c r="P551" s="224">
        <f t="shared" si="1"/>
        <v>0.4282079984</v>
      </c>
      <c r="Q551" s="214" t="str">
        <f t="shared" si="2"/>
        <v>High</v>
      </c>
    </row>
    <row r="552" ht="15.75" customHeight="1">
      <c r="A552" s="214" t="s">
        <v>1003</v>
      </c>
      <c r="B552" s="216">
        <v>8077.0</v>
      </c>
      <c r="C552" s="216">
        <v>240.0</v>
      </c>
      <c r="D552" s="217">
        <v>15.0</v>
      </c>
      <c r="E552" s="219" t="s">
        <v>216</v>
      </c>
      <c r="F552" s="219" t="s">
        <v>347</v>
      </c>
      <c r="G552" s="214" t="s">
        <v>350</v>
      </c>
      <c r="H552" s="221">
        <v>44086.0</v>
      </c>
      <c r="I552" s="219" t="s">
        <v>1004</v>
      </c>
      <c r="J552" s="219" t="s">
        <v>223</v>
      </c>
      <c r="K552" s="219" t="s">
        <v>428</v>
      </c>
      <c r="L552" s="214" t="s">
        <v>434</v>
      </c>
      <c r="M552" s="222">
        <v>2020.0</v>
      </c>
      <c r="N552" s="214" t="s">
        <v>536</v>
      </c>
      <c r="O552" s="223">
        <v>3.0</v>
      </c>
      <c r="P552" s="224">
        <f t="shared" si="1"/>
        <v>0.02971400272</v>
      </c>
      <c r="Q552" s="214" t="str">
        <f t="shared" si="2"/>
        <v>High</v>
      </c>
    </row>
    <row r="553" ht="15.75" customHeight="1">
      <c r="A553" s="214" t="s">
        <v>1005</v>
      </c>
      <c r="B553" s="216">
        <v>5152.0</v>
      </c>
      <c r="C553" s="216">
        <v>2045.0</v>
      </c>
      <c r="D553" s="217">
        <v>14.0</v>
      </c>
      <c r="E553" s="219" t="s">
        <v>157</v>
      </c>
      <c r="F553" s="219" t="s">
        <v>358</v>
      </c>
      <c r="G553" s="214" t="s">
        <v>392</v>
      </c>
      <c r="H553" s="221">
        <v>44162.0</v>
      </c>
      <c r="I553" s="219" t="s">
        <v>1006</v>
      </c>
      <c r="J553" s="219" t="s">
        <v>271</v>
      </c>
      <c r="K553" s="219" t="s">
        <v>449</v>
      </c>
      <c r="L553" s="214" t="s">
        <v>436</v>
      </c>
      <c r="M553" s="222">
        <v>2020.0</v>
      </c>
      <c r="N553" s="214" t="s">
        <v>425</v>
      </c>
      <c r="O553" s="223">
        <v>4.0</v>
      </c>
      <c r="P553" s="224">
        <f t="shared" si="1"/>
        <v>0.3969332298</v>
      </c>
      <c r="Q553" s="214" t="str">
        <f t="shared" si="2"/>
        <v>High</v>
      </c>
    </row>
    <row r="554" ht="15.75" customHeight="1">
      <c r="A554" s="214" t="s">
        <v>1005</v>
      </c>
      <c r="B554" s="216">
        <v>5152.0</v>
      </c>
      <c r="C554" s="216">
        <v>2045.0</v>
      </c>
      <c r="D554" s="217">
        <v>14.0</v>
      </c>
      <c r="E554" s="219" t="s">
        <v>157</v>
      </c>
      <c r="F554" s="219" t="s">
        <v>358</v>
      </c>
      <c r="G554" s="214" t="s">
        <v>392</v>
      </c>
      <c r="H554" s="221">
        <v>44798.0</v>
      </c>
      <c r="I554" s="219" t="s">
        <v>1007</v>
      </c>
      <c r="J554" s="219" t="s">
        <v>117</v>
      </c>
      <c r="K554" s="219" t="s">
        <v>423</v>
      </c>
      <c r="L554" s="214" t="s">
        <v>461</v>
      </c>
      <c r="M554" s="222">
        <v>2022.0</v>
      </c>
      <c r="N554" s="214" t="s">
        <v>523</v>
      </c>
      <c r="O554" s="223">
        <v>3.0</v>
      </c>
      <c r="P554" s="224">
        <f t="shared" si="1"/>
        <v>0.3969332298</v>
      </c>
      <c r="Q554" s="214" t="str">
        <f t="shared" si="2"/>
        <v>High</v>
      </c>
    </row>
    <row r="555" ht="15.75" customHeight="1">
      <c r="A555" s="214" t="s">
        <v>1005</v>
      </c>
      <c r="B555" s="216">
        <v>5152.0</v>
      </c>
      <c r="C555" s="216">
        <v>2045.0</v>
      </c>
      <c r="D555" s="217">
        <v>14.0</v>
      </c>
      <c r="E555" s="219" t="s">
        <v>157</v>
      </c>
      <c r="F555" s="219" t="s">
        <v>358</v>
      </c>
      <c r="G555" s="214" t="s">
        <v>392</v>
      </c>
      <c r="H555" s="221">
        <v>45161.0</v>
      </c>
      <c r="I555" s="219" t="s">
        <v>1008</v>
      </c>
      <c r="J555" s="219" t="s">
        <v>271</v>
      </c>
      <c r="K555" s="219" t="s">
        <v>398</v>
      </c>
      <c r="L555" s="214" t="s">
        <v>472</v>
      </c>
      <c r="M555" s="222">
        <v>2023.0</v>
      </c>
      <c r="N555" s="214" t="s">
        <v>523</v>
      </c>
      <c r="O555" s="223">
        <v>3.0</v>
      </c>
      <c r="P555" s="224">
        <f t="shared" si="1"/>
        <v>0.3969332298</v>
      </c>
      <c r="Q555" s="214" t="str">
        <f t="shared" si="2"/>
        <v>High</v>
      </c>
    </row>
    <row r="556" ht="15.75" customHeight="1">
      <c r="A556" s="214" t="s">
        <v>1005</v>
      </c>
      <c r="B556" s="216">
        <v>5152.0</v>
      </c>
      <c r="C556" s="216">
        <v>2045.0</v>
      </c>
      <c r="D556" s="217">
        <v>14.0</v>
      </c>
      <c r="E556" s="219" t="s">
        <v>157</v>
      </c>
      <c r="F556" s="219" t="s">
        <v>358</v>
      </c>
      <c r="G556" s="214" t="s">
        <v>392</v>
      </c>
      <c r="H556" s="221">
        <v>45210.0</v>
      </c>
      <c r="I556" s="219" t="s">
        <v>1009</v>
      </c>
      <c r="J556" s="219" t="s">
        <v>223</v>
      </c>
      <c r="K556" s="219" t="s">
        <v>473</v>
      </c>
      <c r="L556" s="214" t="s">
        <v>475</v>
      </c>
      <c r="M556" s="222">
        <v>2023.0</v>
      </c>
      <c r="N556" s="214" t="s">
        <v>414</v>
      </c>
      <c r="O556" s="223">
        <v>4.0</v>
      </c>
      <c r="P556" s="224">
        <f t="shared" si="1"/>
        <v>0.3969332298</v>
      </c>
      <c r="Q556" s="214" t="str">
        <f t="shared" si="2"/>
        <v>High</v>
      </c>
    </row>
    <row r="557" ht="15.75" customHeight="1">
      <c r="A557" s="214" t="s">
        <v>1010</v>
      </c>
      <c r="B557" s="216">
        <v>2542.0</v>
      </c>
      <c r="C557" s="216">
        <v>190.0</v>
      </c>
      <c r="D557" s="217">
        <v>1.0</v>
      </c>
      <c r="E557" s="219" t="s">
        <v>242</v>
      </c>
      <c r="F557" s="219" t="s">
        <v>317</v>
      </c>
      <c r="G557" s="214" t="s">
        <v>350</v>
      </c>
      <c r="H557" s="221">
        <v>44672.0</v>
      </c>
      <c r="I557" s="219" t="s">
        <v>1011</v>
      </c>
      <c r="J557" s="219" t="s">
        <v>241</v>
      </c>
      <c r="K557" s="219" t="s">
        <v>541</v>
      </c>
      <c r="L557" s="214" t="s">
        <v>456</v>
      </c>
      <c r="M557" s="222">
        <v>2022.0</v>
      </c>
      <c r="N557" s="214" t="s">
        <v>542</v>
      </c>
      <c r="O557" s="223">
        <v>2.0</v>
      </c>
      <c r="P557" s="224">
        <f t="shared" si="1"/>
        <v>0.07474429583</v>
      </c>
      <c r="Q557" s="214" t="str">
        <f t="shared" si="2"/>
        <v>Medium</v>
      </c>
    </row>
    <row r="558" ht="15.75" customHeight="1">
      <c r="A558" s="214" t="s">
        <v>1012</v>
      </c>
      <c r="B558" s="216">
        <v>8102.0</v>
      </c>
      <c r="C558" s="216">
        <v>1800.0</v>
      </c>
      <c r="D558" s="217">
        <v>5.0</v>
      </c>
      <c r="E558" s="219" t="s">
        <v>242</v>
      </c>
      <c r="F558" s="219" t="s">
        <v>317</v>
      </c>
      <c r="G558" s="214" t="s">
        <v>392</v>
      </c>
      <c r="H558" s="221">
        <v>45183.0</v>
      </c>
      <c r="I558" s="219" t="s">
        <v>1013</v>
      </c>
      <c r="J558" s="219" t="s">
        <v>117</v>
      </c>
      <c r="K558" s="219" t="s">
        <v>508</v>
      </c>
      <c r="L558" s="214" t="s">
        <v>474</v>
      </c>
      <c r="M558" s="222">
        <v>2023.0</v>
      </c>
      <c r="N558" s="214" t="s">
        <v>536</v>
      </c>
      <c r="O558" s="223">
        <v>3.0</v>
      </c>
      <c r="P558" s="224">
        <f t="shared" si="1"/>
        <v>0.2221673661</v>
      </c>
      <c r="Q558" s="214" t="str">
        <f t="shared" si="2"/>
        <v>High</v>
      </c>
    </row>
    <row r="559" ht="15.75" customHeight="1">
      <c r="A559" s="214" t="s">
        <v>1012</v>
      </c>
      <c r="B559" s="216">
        <v>8102.0</v>
      </c>
      <c r="C559" s="216">
        <v>1800.0</v>
      </c>
      <c r="D559" s="217">
        <v>5.0</v>
      </c>
      <c r="E559" s="219" t="s">
        <v>242</v>
      </c>
      <c r="F559" s="219" t="s">
        <v>317</v>
      </c>
      <c r="G559" s="214" t="s">
        <v>392</v>
      </c>
      <c r="H559" s="221">
        <v>43950.0</v>
      </c>
      <c r="I559" s="219" t="s">
        <v>1014</v>
      </c>
      <c r="J559" s="219" t="s">
        <v>223</v>
      </c>
      <c r="K559" s="219" t="s">
        <v>402</v>
      </c>
      <c r="L559" s="214" t="s">
        <v>418</v>
      </c>
      <c r="M559" s="222">
        <v>2020.0</v>
      </c>
      <c r="N559" s="214" t="s">
        <v>542</v>
      </c>
      <c r="O559" s="223">
        <v>2.0</v>
      </c>
      <c r="P559" s="224">
        <f t="shared" si="1"/>
        <v>0.2221673661</v>
      </c>
      <c r="Q559" s="214" t="str">
        <f t="shared" si="2"/>
        <v>High</v>
      </c>
    </row>
    <row r="560" ht="15.75" customHeight="1">
      <c r="A560" s="214" t="s">
        <v>1012</v>
      </c>
      <c r="B560" s="216">
        <v>8102.0</v>
      </c>
      <c r="C560" s="216">
        <v>1800.0</v>
      </c>
      <c r="D560" s="217">
        <v>5.0</v>
      </c>
      <c r="E560" s="219" t="s">
        <v>242</v>
      </c>
      <c r="F560" s="219" t="s">
        <v>317</v>
      </c>
      <c r="G560" s="214" t="s">
        <v>392</v>
      </c>
      <c r="H560" s="221">
        <v>44180.0</v>
      </c>
      <c r="I560" s="219" t="s">
        <v>1015</v>
      </c>
      <c r="J560" s="219" t="s">
        <v>313</v>
      </c>
      <c r="K560" s="219" t="s">
        <v>526</v>
      </c>
      <c r="L560" s="214" t="s">
        <v>437</v>
      </c>
      <c r="M560" s="222">
        <v>2020.0</v>
      </c>
      <c r="N560" s="214" t="s">
        <v>400</v>
      </c>
      <c r="O560" s="223">
        <v>4.0</v>
      </c>
      <c r="P560" s="224">
        <f t="shared" si="1"/>
        <v>0.2221673661</v>
      </c>
      <c r="Q560" s="214" t="str">
        <f t="shared" si="2"/>
        <v>High</v>
      </c>
    </row>
    <row r="561" ht="15.75" customHeight="1">
      <c r="A561" s="214" t="s">
        <v>1012</v>
      </c>
      <c r="B561" s="216">
        <v>3234.0</v>
      </c>
      <c r="C561" s="216">
        <v>1274.0</v>
      </c>
      <c r="D561" s="217">
        <v>10.0</v>
      </c>
      <c r="E561" s="219" t="s">
        <v>216</v>
      </c>
      <c r="F561" s="219" t="s">
        <v>344</v>
      </c>
      <c r="G561" s="214" t="s">
        <v>406</v>
      </c>
      <c r="H561" s="221">
        <v>45183.0</v>
      </c>
      <c r="I561" s="219" t="s">
        <v>1013</v>
      </c>
      <c r="J561" s="219" t="s">
        <v>117</v>
      </c>
      <c r="K561" s="219" t="s">
        <v>508</v>
      </c>
      <c r="L561" s="214" t="s">
        <v>474</v>
      </c>
      <c r="M561" s="222">
        <v>2023.0</v>
      </c>
      <c r="N561" s="214" t="s">
        <v>536</v>
      </c>
      <c r="O561" s="223">
        <v>3.0</v>
      </c>
      <c r="P561" s="224">
        <f t="shared" si="1"/>
        <v>0.3939393939</v>
      </c>
      <c r="Q561" s="214" t="str">
        <f t="shared" si="2"/>
        <v>Medium</v>
      </c>
    </row>
    <row r="562" ht="15.75" customHeight="1">
      <c r="A562" s="214" t="s">
        <v>1012</v>
      </c>
      <c r="B562" s="216">
        <v>3234.0</v>
      </c>
      <c r="C562" s="216">
        <v>1274.0</v>
      </c>
      <c r="D562" s="217">
        <v>10.0</v>
      </c>
      <c r="E562" s="219" t="s">
        <v>216</v>
      </c>
      <c r="F562" s="219" t="s">
        <v>344</v>
      </c>
      <c r="G562" s="214" t="s">
        <v>406</v>
      </c>
      <c r="H562" s="221">
        <v>43950.0</v>
      </c>
      <c r="I562" s="219" t="s">
        <v>1014</v>
      </c>
      <c r="J562" s="219" t="s">
        <v>223</v>
      </c>
      <c r="K562" s="219" t="s">
        <v>402</v>
      </c>
      <c r="L562" s="214" t="s">
        <v>418</v>
      </c>
      <c r="M562" s="222">
        <v>2020.0</v>
      </c>
      <c r="N562" s="214" t="s">
        <v>542</v>
      </c>
      <c r="O562" s="223">
        <v>2.0</v>
      </c>
      <c r="P562" s="224">
        <f t="shared" si="1"/>
        <v>0.3939393939</v>
      </c>
      <c r="Q562" s="214" t="str">
        <f t="shared" si="2"/>
        <v>Medium</v>
      </c>
    </row>
    <row r="563" ht="15.75" customHeight="1">
      <c r="A563" s="214" t="s">
        <v>1012</v>
      </c>
      <c r="B563" s="216">
        <v>3234.0</v>
      </c>
      <c r="C563" s="216">
        <v>1274.0</v>
      </c>
      <c r="D563" s="217">
        <v>10.0</v>
      </c>
      <c r="E563" s="219" t="s">
        <v>216</v>
      </c>
      <c r="F563" s="219" t="s">
        <v>344</v>
      </c>
      <c r="G563" s="214" t="s">
        <v>406</v>
      </c>
      <c r="H563" s="221">
        <v>44180.0</v>
      </c>
      <c r="I563" s="219" t="s">
        <v>1015</v>
      </c>
      <c r="J563" s="219" t="s">
        <v>313</v>
      </c>
      <c r="K563" s="219" t="s">
        <v>526</v>
      </c>
      <c r="L563" s="214" t="s">
        <v>437</v>
      </c>
      <c r="M563" s="222">
        <v>2020.0</v>
      </c>
      <c r="N563" s="214" t="s">
        <v>400</v>
      </c>
      <c r="O563" s="223">
        <v>4.0</v>
      </c>
      <c r="P563" s="224">
        <f t="shared" si="1"/>
        <v>0.3939393939</v>
      </c>
      <c r="Q563" s="214" t="str">
        <f t="shared" si="2"/>
        <v>Medium</v>
      </c>
    </row>
    <row r="564" ht="15.75" customHeight="1">
      <c r="A564" s="214" t="s">
        <v>1016</v>
      </c>
      <c r="B564" s="216">
        <v>6200.0</v>
      </c>
      <c r="C564" s="216">
        <v>2321.0</v>
      </c>
      <c r="D564" s="217">
        <v>18.0</v>
      </c>
      <c r="E564" s="219" t="s">
        <v>216</v>
      </c>
      <c r="F564" s="219" t="s">
        <v>344</v>
      </c>
      <c r="G564" s="214" t="s">
        <v>350</v>
      </c>
      <c r="H564" s="221">
        <v>45484.0</v>
      </c>
      <c r="I564" s="219" t="s">
        <v>1017</v>
      </c>
      <c r="J564" s="219" t="s">
        <v>117</v>
      </c>
      <c r="K564" s="219" t="s">
        <v>423</v>
      </c>
      <c r="L564" s="214" t="s">
        <v>482</v>
      </c>
      <c r="M564" s="222">
        <v>2024.0</v>
      </c>
      <c r="N564" s="214" t="s">
        <v>404</v>
      </c>
      <c r="O564" s="223">
        <v>3.0</v>
      </c>
      <c r="P564" s="224">
        <f t="shared" si="1"/>
        <v>0.3743548387</v>
      </c>
      <c r="Q564" s="214" t="str">
        <f t="shared" si="2"/>
        <v>High</v>
      </c>
    </row>
    <row r="565" ht="15.75" customHeight="1">
      <c r="A565" s="214" t="s">
        <v>1016</v>
      </c>
      <c r="B565" s="216">
        <v>6200.0</v>
      </c>
      <c r="C565" s="216">
        <v>2321.0</v>
      </c>
      <c r="D565" s="217">
        <v>18.0</v>
      </c>
      <c r="E565" s="219" t="s">
        <v>216</v>
      </c>
      <c r="F565" s="219" t="s">
        <v>344</v>
      </c>
      <c r="G565" s="214" t="s">
        <v>350</v>
      </c>
      <c r="H565" s="221">
        <v>45556.0</v>
      </c>
      <c r="I565" s="219" t="s">
        <v>1018</v>
      </c>
      <c r="J565" s="219" t="s">
        <v>159</v>
      </c>
      <c r="K565" s="219" t="s">
        <v>394</v>
      </c>
      <c r="L565" s="214" t="s">
        <v>484</v>
      </c>
      <c r="M565" s="222">
        <v>2024.0</v>
      </c>
      <c r="N565" s="214" t="s">
        <v>536</v>
      </c>
      <c r="O565" s="223">
        <v>3.0</v>
      </c>
      <c r="P565" s="224">
        <f t="shared" si="1"/>
        <v>0.3743548387</v>
      </c>
      <c r="Q565" s="214" t="str">
        <f t="shared" si="2"/>
        <v>High</v>
      </c>
    </row>
    <row r="566" ht="15.75" customHeight="1">
      <c r="A566" s="214" t="s">
        <v>1019</v>
      </c>
      <c r="B566" s="216">
        <v>4470.0</v>
      </c>
      <c r="C566" s="216">
        <v>413.0</v>
      </c>
      <c r="D566" s="217">
        <v>13.0</v>
      </c>
      <c r="E566" s="219" t="s">
        <v>157</v>
      </c>
      <c r="F566" s="219" t="s">
        <v>360</v>
      </c>
      <c r="G566" s="214" t="s">
        <v>392</v>
      </c>
      <c r="H566" s="221">
        <v>45690.0</v>
      </c>
      <c r="I566" s="219" t="s">
        <v>1020</v>
      </c>
      <c r="J566" s="219" t="s">
        <v>117</v>
      </c>
      <c r="K566" s="219" t="s">
        <v>423</v>
      </c>
      <c r="L566" s="214" t="s">
        <v>488</v>
      </c>
      <c r="M566" s="222">
        <v>2025.0</v>
      </c>
      <c r="N566" s="214" t="s">
        <v>494</v>
      </c>
      <c r="O566" s="223">
        <v>1.0</v>
      </c>
      <c r="P566" s="224">
        <f t="shared" si="1"/>
        <v>0.09239373602</v>
      </c>
      <c r="Q566" s="214" t="str">
        <f t="shared" si="2"/>
        <v>Medium</v>
      </c>
    </row>
    <row r="567" ht="15.75" customHeight="1">
      <c r="A567" s="214" t="s">
        <v>1021</v>
      </c>
      <c r="B567" s="216">
        <v>916.0</v>
      </c>
      <c r="C567" s="216">
        <v>362.0</v>
      </c>
      <c r="D567" s="217">
        <v>7.0</v>
      </c>
      <c r="E567" s="219" t="s">
        <v>242</v>
      </c>
      <c r="F567" s="219" t="s">
        <v>356</v>
      </c>
      <c r="G567" s="214" t="s">
        <v>392</v>
      </c>
      <c r="H567" s="221">
        <v>44855.0</v>
      </c>
      <c r="I567" s="219" t="s">
        <v>1022</v>
      </c>
      <c r="J567" s="219" t="s">
        <v>271</v>
      </c>
      <c r="K567" s="219" t="s">
        <v>449</v>
      </c>
      <c r="L567" s="214" t="s">
        <v>463</v>
      </c>
      <c r="M567" s="222">
        <v>2022.0</v>
      </c>
      <c r="N567" s="214" t="s">
        <v>414</v>
      </c>
      <c r="O567" s="223">
        <v>4.0</v>
      </c>
      <c r="P567" s="224">
        <f t="shared" si="1"/>
        <v>0.3951965066</v>
      </c>
      <c r="Q567" s="214" t="str">
        <f t="shared" si="2"/>
        <v>Medium</v>
      </c>
    </row>
    <row r="568" ht="15.75" customHeight="1">
      <c r="A568" s="214" t="s">
        <v>1021</v>
      </c>
      <c r="B568" s="216">
        <v>916.0</v>
      </c>
      <c r="C568" s="216">
        <v>362.0</v>
      </c>
      <c r="D568" s="217">
        <v>7.0</v>
      </c>
      <c r="E568" s="219" t="s">
        <v>242</v>
      </c>
      <c r="F568" s="219" t="s">
        <v>356</v>
      </c>
      <c r="G568" s="214" t="s">
        <v>392</v>
      </c>
      <c r="H568" s="221">
        <v>44125.0</v>
      </c>
      <c r="I568" s="219" t="s">
        <v>1023</v>
      </c>
      <c r="J568" s="219" t="s">
        <v>117</v>
      </c>
      <c r="K568" s="219" t="s">
        <v>508</v>
      </c>
      <c r="L568" s="214" t="s">
        <v>435</v>
      </c>
      <c r="M568" s="222">
        <v>2020.0</v>
      </c>
      <c r="N568" s="214" t="s">
        <v>414</v>
      </c>
      <c r="O568" s="223">
        <v>4.0</v>
      </c>
      <c r="P568" s="224">
        <f t="shared" si="1"/>
        <v>0.3951965066</v>
      </c>
      <c r="Q568" s="214" t="str">
        <f t="shared" si="2"/>
        <v>Medium</v>
      </c>
    </row>
    <row r="569" ht="15.75" customHeight="1">
      <c r="A569" s="214" t="s">
        <v>1021</v>
      </c>
      <c r="B569" s="216">
        <v>1165.0</v>
      </c>
      <c r="C569" s="216">
        <v>302.0</v>
      </c>
      <c r="D569" s="217">
        <v>20.0</v>
      </c>
      <c r="E569" s="219" t="s">
        <v>216</v>
      </c>
      <c r="F569" s="219" t="s">
        <v>347</v>
      </c>
      <c r="G569" s="214" t="s">
        <v>392</v>
      </c>
      <c r="H569" s="221">
        <v>44855.0</v>
      </c>
      <c r="I569" s="219" t="s">
        <v>1022</v>
      </c>
      <c r="J569" s="219" t="s">
        <v>271</v>
      </c>
      <c r="K569" s="219" t="s">
        <v>449</v>
      </c>
      <c r="L569" s="214" t="s">
        <v>463</v>
      </c>
      <c r="M569" s="222">
        <v>2022.0</v>
      </c>
      <c r="N569" s="214" t="s">
        <v>414</v>
      </c>
      <c r="O569" s="223">
        <v>4.0</v>
      </c>
      <c r="P569" s="224">
        <f t="shared" si="1"/>
        <v>0.2592274678</v>
      </c>
      <c r="Q569" s="214" t="str">
        <f t="shared" si="2"/>
        <v>Medium</v>
      </c>
    </row>
    <row r="570" ht="15.75" customHeight="1">
      <c r="A570" s="214" t="s">
        <v>1021</v>
      </c>
      <c r="B570" s="216">
        <v>1165.0</v>
      </c>
      <c r="C570" s="216">
        <v>302.0</v>
      </c>
      <c r="D570" s="217">
        <v>20.0</v>
      </c>
      <c r="E570" s="219" t="s">
        <v>216</v>
      </c>
      <c r="F570" s="219" t="s">
        <v>347</v>
      </c>
      <c r="G570" s="214" t="s">
        <v>392</v>
      </c>
      <c r="H570" s="221">
        <v>44125.0</v>
      </c>
      <c r="I570" s="219" t="s">
        <v>1023</v>
      </c>
      <c r="J570" s="219" t="s">
        <v>117</v>
      </c>
      <c r="K570" s="219" t="s">
        <v>508</v>
      </c>
      <c r="L570" s="214" t="s">
        <v>435</v>
      </c>
      <c r="M570" s="222">
        <v>2020.0</v>
      </c>
      <c r="N570" s="214" t="s">
        <v>414</v>
      </c>
      <c r="O570" s="223">
        <v>4.0</v>
      </c>
      <c r="P570" s="224">
        <f t="shared" si="1"/>
        <v>0.2592274678</v>
      </c>
      <c r="Q570" s="214" t="str">
        <f t="shared" si="2"/>
        <v>Medium</v>
      </c>
    </row>
    <row r="571" ht="15.75" customHeight="1">
      <c r="A571" s="214" t="s">
        <v>1021</v>
      </c>
      <c r="B571" s="216">
        <v>7846.0</v>
      </c>
      <c r="C571" s="216">
        <v>677.0</v>
      </c>
      <c r="D571" s="217">
        <v>12.0</v>
      </c>
      <c r="E571" s="219" t="s">
        <v>216</v>
      </c>
      <c r="F571" s="219" t="s">
        <v>359</v>
      </c>
      <c r="G571" s="214" t="s">
        <v>392</v>
      </c>
      <c r="H571" s="221">
        <v>44855.0</v>
      </c>
      <c r="I571" s="219" t="s">
        <v>1022</v>
      </c>
      <c r="J571" s="219" t="s">
        <v>271</v>
      </c>
      <c r="K571" s="219" t="s">
        <v>449</v>
      </c>
      <c r="L571" s="214" t="s">
        <v>463</v>
      </c>
      <c r="M571" s="222">
        <v>2022.0</v>
      </c>
      <c r="N571" s="214" t="s">
        <v>414</v>
      </c>
      <c r="O571" s="223">
        <v>4.0</v>
      </c>
      <c r="P571" s="224">
        <f t="shared" si="1"/>
        <v>0.08628600561</v>
      </c>
      <c r="Q571" s="214" t="str">
        <f t="shared" si="2"/>
        <v>High</v>
      </c>
    </row>
    <row r="572" ht="15.75" customHeight="1">
      <c r="A572" s="214" t="s">
        <v>1021</v>
      </c>
      <c r="B572" s="216">
        <v>7846.0</v>
      </c>
      <c r="C572" s="216">
        <v>677.0</v>
      </c>
      <c r="D572" s="217">
        <v>12.0</v>
      </c>
      <c r="E572" s="219" t="s">
        <v>216</v>
      </c>
      <c r="F572" s="219" t="s">
        <v>359</v>
      </c>
      <c r="G572" s="214" t="s">
        <v>392</v>
      </c>
      <c r="H572" s="221">
        <v>44125.0</v>
      </c>
      <c r="I572" s="219" t="s">
        <v>1023</v>
      </c>
      <c r="J572" s="219" t="s">
        <v>117</v>
      </c>
      <c r="K572" s="219" t="s">
        <v>508</v>
      </c>
      <c r="L572" s="214" t="s">
        <v>435</v>
      </c>
      <c r="M572" s="222">
        <v>2020.0</v>
      </c>
      <c r="N572" s="214" t="s">
        <v>414</v>
      </c>
      <c r="O572" s="223">
        <v>4.0</v>
      </c>
      <c r="P572" s="224">
        <f t="shared" si="1"/>
        <v>0.08628600561</v>
      </c>
      <c r="Q572" s="214" t="str">
        <f t="shared" si="2"/>
        <v>High</v>
      </c>
    </row>
    <row r="573" ht="15.75" customHeight="1">
      <c r="A573" s="214" t="s">
        <v>1024</v>
      </c>
      <c r="B573" s="216">
        <v>3022.0</v>
      </c>
      <c r="C573" s="216">
        <v>384.0</v>
      </c>
      <c r="D573" s="217">
        <v>1.0</v>
      </c>
      <c r="E573" s="219" t="s">
        <v>242</v>
      </c>
      <c r="F573" s="219" t="s">
        <v>356</v>
      </c>
      <c r="G573" s="214" t="s">
        <v>350</v>
      </c>
      <c r="H573" s="221">
        <v>44572.0</v>
      </c>
      <c r="I573" s="219" t="s">
        <v>1025</v>
      </c>
      <c r="J573" s="219" t="s">
        <v>241</v>
      </c>
      <c r="K573" s="219" t="s">
        <v>504</v>
      </c>
      <c r="L573" s="214" t="s">
        <v>453</v>
      </c>
      <c r="M573" s="222">
        <v>2022.0</v>
      </c>
      <c r="N573" s="214" t="s">
        <v>497</v>
      </c>
      <c r="O573" s="223">
        <v>1.0</v>
      </c>
      <c r="P573" s="224">
        <f t="shared" si="1"/>
        <v>0.1270681668</v>
      </c>
      <c r="Q573" s="214" t="str">
        <f t="shared" si="2"/>
        <v>Medium</v>
      </c>
    </row>
    <row r="574" ht="15.75" customHeight="1">
      <c r="A574" s="214" t="s">
        <v>1024</v>
      </c>
      <c r="B574" s="216">
        <v>3022.0</v>
      </c>
      <c r="C574" s="216">
        <v>384.0</v>
      </c>
      <c r="D574" s="217">
        <v>1.0</v>
      </c>
      <c r="E574" s="219" t="s">
        <v>242</v>
      </c>
      <c r="F574" s="219" t="s">
        <v>356</v>
      </c>
      <c r="G574" s="214" t="s">
        <v>350</v>
      </c>
      <c r="H574" s="221">
        <v>44244.0</v>
      </c>
      <c r="I574" s="219" t="s">
        <v>1026</v>
      </c>
      <c r="J574" s="219" t="s">
        <v>271</v>
      </c>
      <c r="K574" s="219" t="s">
        <v>398</v>
      </c>
      <c r="L574" s="214" t="s">
        <v>439</v>
      </c>
      <c r="M574" s="222">
        <v>2021.0</v>
      </c>
      <c r="N574" s="214" t="s">
        <v>494</v>
      </c>
      <c r="O574" s="223">
        <v>1.0</v>
      </c>
      <c r="P574" s="224">
        <f t="shared" si="1"/>
        <v>0.1270681668</v>
      </c>
      <c r="Q574" s="214" t="str">
        <f t="shared" si="2"/>
        <v>Medium</v>
      </c>
    </row>
    <row r="575" ht="15.75" customHeight="1">
      <c r="A575" s="214" t="s">
        <v>1024</v>
      </c>
      <c r="B575" s="216">
        <v>5266.0</v>
      </c>
      <c r="C575" s="216">
        <v>1111.0</v>
      </c>
      <c r="D575" s="217">
        <v>13.0</v>
      </c>
      <c r="E575" s="219" t="s">
        <v>157</v>
      </c>
      <c r="F575" s="219" t="s">
        <v>355</v>
      </c>
      <c r="G575" s="214" t="s">
        <v>351</v>
      </c>
      <c r="H575" s="221">
        <v>44572.0</v>
      </c>
      <c r="I575" s="219" t="s">
        <v>1025</v>
      </c>
      <c r="J575" s="219" t="s">
        <v>241</v>
      </c>
      <c r="K575" s="219" t="s">
        <v>504</v>
      </c>
      <c r="L575" s="214" t="s">
        <v>453</v>
      </c>
      <c r="M575" s="222">
        <v>2022.0</v>
      </c>
      <c r="N575" s="214" t="s">
        <v>497</v>
      </c>
      <c r="O575" s="223">
        <v>1.0</v>
      </c>
      <c r="P575" s="224">
        <f t="shared" si="1"/>
        <v>0.2109760729</v>
      </c>
      <c r="Q575" s="214" t="str">
        <f t="shared" si="2"/>
        <v>High</v>
      </c>
    </row>
    <row r="576" ht="15.75" customHeight="1">
      <c r="A576" s="214" t="s">
        <v>1024</v>
      </c>
      <c r="B576" s="216">
        <v>5266.0</v>
      </c>
      <c r="C576" s="216">
        <v>1111.0</v>
      </c>
      <c r="D576" s="217">
        <v>13.0</v>
      </c>
      <c r="E576" s="219" t="s">
        <v>157</v>
      </c>
      <c r="F576" s="219" t="s">
        <v>355</v>
      </c>
      <c r="G576" s="214" t="s">
        <v>351</v>
      </c>
      <c r="H576" s="221">
        <v>44244.0</v>
      </c>
      <c r="I576" s="219" t="s">
        <v>1026</v>
      </c>
      <c r="J576" s="219" t="s">
        <v>271</v>
      </c>
      <c r="K576" s="219" t="s">
        <v>398</v>
      </c>
      <c r="L576" s="214" t="s">
        <v>439</v>
      </c>
      <c r="M576" s="222">
        <v>2021.0</v>
      </c>
      <c r="N576" s="214" t="s">
        <v>494</v>
      </c>
      <c r="O576" s="223">
        <v>1.0</v>
      </c>
      <c r="P576" s="224">
        <f t="shared" si="1"/>
        <v>0.2109760729</v>
      </c>
      <c r="Q576" s="214" t="str">
        <f t="shared" si="2"/>
        <v>High</v>
      </c>
    </row>
    <row r="577" ht="15.75" customHeight="1">
      <c r="A577" s="214" t="s">
        <v>1027</v>
      </c>
      <c r="B577" s="216">
        <v>4853.0</v>
      </c>
      <c r="C577" s="216">
        <v>1764.0</v>
      </c>
      <c r="D577" s="217">
        <v>9.0</v>
      </c>
      <c r="E577" s="219" t="s">
        <v>242</v>
      </c>
      <c r="F577" s="219" t="s">
        <v>356</v>
      </c>
      <c r="G577" s="214" t="s">
        <v>351</v>
      </c>
      <c r="H577" s="221">
        <v>44506.0</v>
      </c>
      <c r="I577" s="219" t="s">
        <v>1028</v>
      </c>
      <c r="J577" s="219" t="s">
        <v>159</v>
      </c>
      <c r="K577" s="219" t="s">
        <v>409</v>
      </c>
      <c r="L577" s="214" t="s">
        <v>451</v>
      </c>
      <c r="M577" s="222">
        <v>2021.0</v>
      </c>
      <c r="N577" s="214" t="s">
        <v>425</v>
      </c>
      <c r="O577" s="223">
        <v>4.0</v>
      </c>
      <c r="P577" s="224">
        <f t="shared" si="1"/>
        <v>0.3634865032</v>
      </c>
      <c r="Q577" s="214" t="str">
        <f t="shared" si="2"/>
        <v>Medium</v>
      </c>
    </row>
    <row r="578" ht="15.75" customHeight="1">
      <c r="A578" s="214" t="s">
        <v>1027</v>
      </c>
      <c r="B578" s="216">
        <v>4853.0</v>
      </c>
      <c r="C578" s="216">
        <v>1764.0</v>
      </c>
      <c r="D578" s="217">
        <v>9.0</v>
      </c>
      <c r="E578" s="219" t="s">
        <v>242</v>
      </c>
      <c r="F578" s="219" t="s">
        <v>356</v>
      </c>
      <c r="G578" s="214" t="s">
        <v>351</v>
      </c>
      <c r="H578" s="221">
        <v>44803.0</v>
      </c>
      <c r="I578" s="219" t="s">
        <v>1029</v>
      </c>
      <c r="J578" s="219" t="s">
        <v>241</v>
      </c>
      <c r="K578" s="219" t="s">
        <v>541</v>
      </c>
      <c r="L578" s="214" t="s">
        <v>461</v>
      </c>
      <c r="M578" s="222">
        <v>2022.0</v>
      </c>
      <c r="N578" s="214" t="s">
        <v>523</v>
      </c>
      <c r="O578" s="223">
        <v>3.0</v>
      </c>
      <c r="P578" s="224">
        <f t="shared" si="1"/>
        <v>0.3634865032</v>
      </c>
      <c r="Q578" s="214" t="str">
        <f t="shared" si="2"/>
        <v>Medium</v>
      </c>
    </row>
    <row r="579" ht="15.75" customHeight="1">
      <c r="A579" s="214" t="s">
        <v>1030</v>
      </c>
      <c r="B579" s="216">
        <v>9832.0</v>
      </c>
      <c r="C579" s="216">
        <v>1270.0</v>
      </c>
      <c r="D579" s="217">
        <v>1.0</v>
      </c>
      <c r="E579" s="219" t="s">
        <v>242</v>
      </c>
      <c r="F579" s="219" t="s">
        <v>356</v>
      </c>
      <c r="G579" s="214" t="s">
        <v>405</v>
      </c>
      <c r="H579" s="221">
        <v>44841.0</v>
      </c>
      <c r="I579" s="219" t="s">
        <v>1031</v>
      </c>
      <c r="J579" s="219" t="s">
        <v>117</v>
      </c>
      <c r="K579" s="219" t="s">
        <v>508</v>
      </c>
      <c r="L579" s="214" t="s">
        <v>463</v>
      </c>
      <c r="M579" s="222">
        <v>2022.0</v>
      </c>
      <c r="N579" s="214" t="s">
        <v>414</v>
      </c>
      <c r="O579" s="223">
        <v>4.0</v>
      </c>
      <c r="P579" s="224">
        <f t="shared" si="1"/>
        <v>0.129170057</v>
      </c>
      <c r="Q579" s="214" t="str">
        <f t="shared" si="2"/>
        <v>High</v>
      </c>
    </row>
    <row r="580" ht="15.75" customHeight="1">
      <c r="A580" s="214" t="s">
        <v>1030</v>
      </c>
      <c r="B580" s="216">
        <v>796.0</v>
      </c>
      <c r="C580" s="216">
        <v>153.0</v>
      </c>
      <c r="D580" s="217">
        <v>15.0</v>
      </c>
      <c r="E580" s="219" t="s">
        <v>242</v>
      </c>
      <c r="F580" s="219" t="s">
        <v>356</v>
      </c>
      <c r="G580" s="214" t="s">
        <v>350</v>
      </c>
      <c r="H580" s="221">
        <v>44841.0</v>
      </c>
      <c r="I580" s="219" t="s">
        <v>1031</v>
      </c>
      <c r="J580" s="219" t="s">
        <v>117</v>
      </c>
      <c r="K580" s="219" t="s">
        <v>508</v>
      </c>
      <c r="L580" s="214" t="s">
        <v>463</v>
      </c>
      <c r="M580" s="222">
        <v>2022.0</v>
      </c>
      <c r="N580" s="214" t="s">
        <v>414</v>
      </c>
      <c r="O580" s="223">
        <v>4.0</v>
      </c>
      <c r="P580" s="224">
        <f t="shared" si="1"/>
        <v>0.1922110553</v>
      </c>
      <c r="Q580" s="214" t="str">
        <f t="shared" si="2"/>
        <v>Medium</v>
      </c>
    </row>
    <row r="581" ht="15.75" customHeight="1">
      <c r="A581" s="214" t="s">
        <v>1032</v>
      </c>
      <c r="B581" s="216">
        <v>883.0</v>
      </c>
      <c r="C581" s="216">
        <v>127.0</v>
      </c>
      <c r="D581" s="217">
        <v>7.0</v>
      </c>
      <c r="E581" s="219" t="s">
        <v>216</v>
      </c>
      <c r="F581" s="219" t="s">
        <v>359</v>
      </c>
      <c r="G581" s="214" t="s">
        <v>405</v>
      </c>
      <c r="H581" s="221">
        <v>45081.0</v>
      </c>
      <c r="I581" s="219" t="s">
        <v>1033</v>
      </c>
      <c r="J581" s="219" t="s">
        <v>117</v>
      </c>
      <c r="K581" s="219" t="s">
        <v>508</v>
      </c>
      <c r="L581" s="214" t="s">
        <v>395</v>
      </c>
      <c r="M581" s="222">
        <v>2023.0</v>
      </c>
      <c r="N581" s="214" t="s">
        <v>396</v>
      </c>
      <c r="O581" s="223">
        <v>2.0</v>
      </c>
      <c r="P581" s="224">
        <f t="shared" si="1"/>
        <v>0.1438278596</v>
      </c>
      <c r="Q581" s="214" t="str">
        <f t="shared" si="2"/>
        <v>Medium</v>
      </c>
    </row>
    <row r="582" ht="15.75" customHeight="1">
      <c r="A582" s="214" t="s">
        <v>1032</v>
      </c>
      <c r="B582" s="216">
        <v>4539.0</v>
      </c>
      <c r="C582" s="216">
        <v>1155.0</v>
      </c>
      <c r="D582" s="217">
        <v>8.0</v>
      </c>
      <c r="E582" s="219" t="s">
        <v>216</v>
      </c>
      <c r="F582" s="219" t="s">
        <v>361</v>
      </c>
      <c r="G582" s="214" t="s">
        <v>351</v>
      </c>
      <c r="H582" s="221">
        <v>45081.0</v>
      </c>
      <c r="I582" s="219" t="s">
        <v>1033</v>
      </c>
      <c r="J582" s="219" t="s">
        <v>117</v>
      </c>
      <c r="K582" s="219" t="s">
        <v>508</v>
      </c>
      <c r="L582" s="214" t="s">
        <v>395</v>
      </c>
      <c r="M582" s="222">
        <v>2023.0</v>
      </c>
      <c r="N582" s="214" t="s">
        <v>396</v>
      </c>
      <c r="O582" s="223">
        <v>2.0</v>
      </c>
      <c r="P582" s="224">
        <f t="shared" si="1"/>
        <v>0.2544613351</v>
      </c>
      <c r="Q582" s="214" t="str">
        <f t="shared" si="2"/>
        <v>Medium</v>
      </c>
    </row>
    <row r="583" ht="15.75" customHeight="1">
      <c r="A583" s="214" t="s">
        <v>1032</v>
      </c>
      <c r="B583" s="216">
        <v>9659.0</v>
      </c>
      <c r="C583" s="216">
        <v>2226.0</v>
      </c>
      <c r="D583" s="217">
        <v>16.0</v>
      </c>
      <c r="E583" s="219" t="s">
        <v>242</v>
      </c>
      <c r="F583" s="219" t="s">
        <v>362</v>
      </c>
      <c r="G583" s="214" t="s">
        <v>351</v>
      </c>
      <c r="H583" s="221">
        <v>45081.0</v>
      </c>
      <c r="I583" s="219" t="s">
        <v>1033</v>
      </c>
      <c r="J583" s="219" t="s">
        <v>117</v>
      </c>
      <c r="K583" s="219" t="s">
        <v>508</v>
      </c>
      <c r="L583" s="214" t="s">
        <v>395</v>
      </c>
      <c r="M583" s="222">
        <v>2023.0</v>
      </c>
      <c r="N583" s="214" t="s">
        <v>396</v>
      </c>
      <c r="O583" s="223">
        <v>2.0</v>
      </c>
      <c r="P583" s="224">
        <f t="shared" si="1"/>
        <v>0.2304586396</v>
      </c>
      <c r="Q583" s="214" t="str">
        <f t="shared" si="2"/>
        <v>High</v>
      </c>
    </row>
    <row r="584" ht="15.75" customHeight="1">
      <c r="A584" s="214" t="s">
        <v>1034</v>
      </c>
      <c r="B584" s="216">
        <v>9562.0</v>
      </c>
      <c r="C584" s="216">
        <v>325.0</v>
      </c>
      <c r="D584" s="217">
        <v>2.0</v>
      </c>
      <c r="E584" s="219" t="s">
        <v>157</v>
      </c>
      <c r="F584" s="219" t="s">
        <v>354</v>
      </c>
      <c r="G584" s="214" t="s">
        <v>351</v>
      </c>
      <c r="H584" s="221">
        <v>44694.0</v>
      </c>
      <c r="I584" s="219" t="s">
        <v>1035</v>
      </c>
      <c r="J584" s="219" t="s">
        <v>117</v>
      </c>
      <c r="K584" s="219" t="s">
        <v>496</v>
      </c>
      <c r="L584" s="214" t="s">
        <v>457</v>
      </c>
      <c r="M584" s="222">
        <v>2022.0</v>
      </c>
      <c r="N584" s="214" t="s">
        <v>411</v>
      </c>
      <c r="O584" s="223">
        <v>2.0</v>
      </c>
      <c r="P584" s="224">
        <f t="shared" si="1"/>
        <v>0.03398870529</v>
      </c>
      <c r="Q584" s="214" t="str">
        <f t="shared" si="2"/>
        <v>High</v>
      </c>
    </row>
    <row r="585" ht="15.75" customHeight="1">
      <c r="A585" s="214" t="s">
        <v>1036</v>
      </c>
      <c r="B585" s="216">
        <v>4688.0</v>
      </c>
      <c r="C585" s="216">
        <v>1841.0</v>
      </c>
      <c r="D585" s="217">
        <v>3.0</v>
      </c>
      <c r="E585" s="219" t="s">
        <v>157</v>
      </c>
      <c r="F585" s="219" t="s">
        <v>360</v>
      </c>
      <c r="G585" s="214" t="s">
        <v>350</v>
      </c>
      <c r="H585" s="221">
        <v>44949.0</v>
      </c>
      <c r="I585" s="219" t="s">
        <v>1037</v>
      </c>
      <c r="J585" s="219" t="s">
        <v>117</v>
      </c>
      <c r="K585" s="219" t="s">
        <v>508</v>
      </c>
      <c r="L585" s="214" t="s">
        <v>465</v>
      </c>
      <c r="M585" s="222">
        <v>2023.0</v>
      </c>
      <c r="N585" s="214" t="s">
        <v>497</v>
      </c>
      <c r="O585" s="223">
        <v>1.0</v>
      </c>
      <c r="P585" s="224">
        <f t="shared" si="1"/>
        <v>0.3927047782</v>
      </c>
      <c r="Q585" s="214" t="str">
        <f t="shared" si="2"/>
        <v>Medium</v>
      </c>
    </row>
    <row r="586" ht="15.75" customHeight="1">
      <c r="A586" s="214" t="s">
        <v>1036</v>
      </c>
      <c r="B586" s="216">
        <v>4688.0</v>
      </c>
      <c r="C586" s="216">
        <v>1841.0</v>
      </c>
      <c r="D586" s="217">
        <v>3.0</v>
      </c>
      <c r="E586" s="219" t="s">
        <v>157</v>
      </c>
      <c r="F586" s="219" t="s">
        <v>360</v>
      </c>
      <c r="G586" s="214" t="s">
        <v>350</v>
      </c>
      <c r="H586" s="221">
        <v>44402.0</v>
      </c>
      <c r="I586" s="219" t="s">
        <v>1038</v>
      </c>
      <c r="J586" s="219" t="s">
        <v>117</v>
      </c>
      <c r="K586" s="219" t="s">
        <v>496</v>
      </c>
      <c r="L586" s="214" t="s">
        <v>403</v>
      </c>
      <c r="M586" s="222">
        <v>2021.0</v>
      </c>
      <c r="N586" s="214" t="s">
        <v>404</v>
      </c>
      <c r="O586" s="223">
        <v>3.0</v>
      </c>
      <c r="P586" s="224">
        <f t="shared" si="1"/>
        <v>0.3927047782</v>
      </c>
      <c r="Q586" s="214" t="str">
        <f t="shared" si="2"/>
        <v>Medium</v>
      </c>
    </row>
    <row r="587" ht="15.75" customHeight="1">
      <c r="A587" s="214" t="s">
        <v>1039</v>
      </c>
      <c r="B587" s="216">
        <v>7900.0</v>
      </c>
      <c r="C587" s="216">
        <v>482.0</v>
      </c>
      <c r="D587" s="217">
        <v>4.0</v>
      </c>
      <c r="E587" s="219" t="s">
        <v>157</v>
      </c>
      <c r="F587" s="219" t="s">
        <v>358</v>
      </c>
      <c r="G587" s="214" t="s">
        <v>405</v>
      </c>
      <c r="H587" s="221">
        <v>45724.0</v>
      </c>
      <c r="I587" s="219" t="s">
        <v>1040</v>
      </c>
      <c r="J587" s="219" t="s">
        <v>313</v>
      </c>
      <c r="K587" s="219" t="s">
        <v>512</v>
      </c>
      <c r="L587" s="214" t="s">
        <v>489</v>
      </c>
      <c r="M587" s="222">
        <v>2025.0</v>
      </c>
      <c r="N587" s="214" t="s">
        <v>433</v>
      </c>
      <c r="O587" s="223">
        <v>1.0</v>
      </c>
      <c r="P587" s="224">
        <f t="shared" si="1"/>
        <v>0.06101265823</v>
      </c>
      <c r="Q587" s="214" t="str">
        <f t="shared" si="2"/>
        <v>High</v>
      </c>
    </row>
    <row r="588" ht="15.75" customHeight="1">
      <c r="A588" s="214" t="s">
        <v>1041</v>
      </c>
      <c r="B588" s="216">
        <v>6967.0</v>
      </c>
      <c r="C588" s="216">
        <v>3257.0</v>
      </c>
      <c r="D588" s="217">
        <v>17.0</v>
      </c>
      <c r="E588" s="219" t="s">
        <v>216</v>
      </c>
      <c r="F588" s="219" t="s">
        <v>361</v>
      </c>
      <c r="G588" s="214" t="s">
        <v>405</v>
      </c>
      <c r="H588" s="221">
        <v>44920.0</v>
      </c>
      <c r="I588" s="219" t="s">
        <v>1042</v>
      </c>
      <c r="J588" s="219" t="s">
        <v>313</v>
      </c>
      <c r="K588" s="219" t="s">
        <v>518</v>
      </c>
      <c r="L588" s="214" t="s">
        <v>464</v>
      </c>
      <c r="M588" s="222">
        <v>2022.0</v>
      </c>
      <c r="N588" s="214" t="s">
        <v>400</v>
      </c>
      <c r="O588" s="223">
        <v>4.0</v>
      </c>
      <c r="P588" s="224">
        <f t="shared" si="1"/>
        <v>0.4674895938</v>
      </c>
      <c r="Q588" s="214" t="str">
        <f t="shared" si="2"/>
        <v>High</v>
      </c>
    </row>
    <row r="589" ht="15.75" customHeight="1">
      <c r="A589" s="214" t="s">
        <v>1041</v>
      </c>
      <c r="B589" s="216">
        <v>1091.0</v>
      </c>
      <c r="C589" s="216">
        <v>277.0</v>
      </c>
      <c r="D589" s="217">
        <v>6.0</v>
      </c>
      <c r="E589" s="219" t="s">
        <v>242</v>
      </c>
      <c r="F589" s="219" t="s">
        <v>357</v>
      </c>
      <c r="G589" s="214" t="s">
        <v>405</v>
      </c>
      <c r="H589" s="221">
        <v>44920.0</v>
      </c>
      <c r="I589" s="219" t="s">
        <v>1042</v>
      </c>
      <c r="J589" s="219" t="s">
        <v>313</v>
      </c>
      <c r="K589" s="219" t="s">
        <v>518</v>
      </c>
      <c r="L589" s="214" t="s">
        <v>464</v>
      </c>
      <c r="M589" s="222">
        <v>2022.0</v>
      </c>
      <c r="N589" s="214" t="s">
        <v>400</v>
      </c>
      <c r="O589" s="223">
        <v>4.0</v>
      </c>
      <c r="P589" s="224">
        <f t="shared" si="1"/>
        <v>0.2538955087</v>
      </c>
      <c r="Q589" s="214" t="str">
        <f t="shared" si="2"/>
        <v>Medium</v>
      </c>
    </row>
    <row r="590" ht="15.75" customHeight="1">
      <c r="A590" s="214" t="s">
        <v>1041</v>
      </c>
      <c r="B590" s="216">
        <v>6027.0</v>
      </c>
      <c r="C590" s="216">
        <v>1530.0</v>
      </c>
      <c r="D590" s="217">
        <v>2.0</v>
      </c>
      <c r="E590" s="219" t="s">
        <v>242</v>
      </c>
      <c r="F590" s="219" t="s">
        <v>362</v>
      </c>
      <c r="G590" s="214" t="s">
        <v>350</v>
      </c>
      <c r="H590" s="221">
        <v>44920.0</v>
      </c>
      <c r="I590" s="219" t="s">
        <v>1042</v>
      </c>
      <c r="J590" s="219" t="s">
        <v>313</v>
      </c>
      <c r="K590" s="219" t="s">
        <v>518</v>
      </c>
      <c r="L590" s="214" t="s">
        <v>464</v>
      </c>
      <c r="M590" s="222">
        <v>2022.0</v>
      </c>
      <c r="N590" s="214" t="s">
        <v>400</v>
      </c>
      <c r="O590" s="223">
        <v>4.0</v>
      </c>
      <c r="P590" s="224">
        <f t="shared" si="1"/>
        <v>0.2538576406</v>
      </c>
      <c r="Q590" s="214" t="str">
        <f t="shared" si="2"/>
        <v>High</v>
      </c>
    </row>
    <row r="591" ht="15.75" customHeight="1">
      <c r="A591" s="214" t="s">
        <v>1043</v>
      </c>
      <c r="B591" s="216">
        <v>4852.0</v>
      </c>
      <c r="C591" s="216">
        <v>218.0</v>
      </c>
      <c r="D591" s="217">
        <v>2.0</v>
      </c>
      <c r="E591" s="219" t="s">
        <v>216</v>
      </c>
      <c r="F591" s="219" t="s">
        <v>344</v>
      </c>
      <c r="G591" s="214" t="s">
        <v>406</v>
      </c>
      <c r="H591" s="221">
        <v>45406.0</v>
      </c>
      <c r="I591" s="219" t="s">
        <v>1044</v>
      </c>
      <c r="J591" s="219" t="s">
        <v>241</v>
      </c>
      <c r="K591" s="219" t="s">
        <v>493</v>
      </c>
      <c r="L591" s="214" t="s">
        <v>480</v>
      </c>
      <c r="M591" s="222">
        <v>2024.0</v>
      </c>
      <c r="N591" s="214" t="s">
        <v>542</v>
      </c>
      <c r="O591" s="223">
        <v>2.0</v>
      </c>
      <c r="P591" s="224">
        <f t="shared" si="1"/>
        <v>0.0449299258</v>
      </c>
      <c r="Q591" s="214" t="str">
        <f t="shared" si="2"/>
        <v>Medium</v>
      </c>
    </row>
    <row r="592" ht="15.75" customHeight="1">
      <c r="A592" s="214" t="s">
        <v>1043</v>
      </c>
      <c r="B592" s="216">
        <v>4852.0</v>
      </c>
      <c r="C592" s="216">
        <v>218.0</v>
      </c>
      <c r="D592" s="217">
        <v>2.0</v>
      </c>
      <c r="E592" s="219" t="s">
        <v>216</v>
      </c>
      <c r="F592" s="219" t="s">
        <v>344</v>
      </c>
      <c r="G592" s="214" t="s">
        <v>406</v>
      </c>
      <c r="H592" s="221">
        <v>44554.0</v>
      </c>
      <c r="I592" s="219" t="s">
        <v>1045</v>
      </c>
      <c r="J592" s="219" t="s">
        <v>159</v>
      </c>
      <c r="K592" s="219" t="s">
        <v>552</v>
      </c>
      <c r="L592" s="214" t="s">
        <v>452</v>
      </c>
      <c r="M592" s="222">
        <v>2021.0</v>
      </c>
      <c r="N592" s="214" t="s">
        <v>400</v>
      </c>
      <c r="O592" s="223">
        <v>4.0</v>
      </c>
      <c r="P592" s="224">
        <f t="shared" si="1"/>
        <v>0.0449299258</v>
      </c>
      <c r="Q592" s="214" t="str">
        <f t="shared" si="2"/>
        <v>Medium</v>
      </c>
    </row>
    <row r="593" ht="15.75" customHeight="1">
      <c r="A593" s="214" t="s">
        <v>1043</v>
      </c>
      <c r="B593" s="216">
        <v>4852.0</v>
      </c>
      <c r="C593" s="216">
        <v>218.0</v>
      </c>
      <c r="D593" s="217">
        <v>2.0</v>
      </c>
      <c r="E593" s="219" t="s">
        <v>216</v>
      </c>
      <c r="F593" s="219" t="s">
        <v>344</v>
      </c>
      <c r="G593" s="214" t="s">
        <v>406</v>
      </c>
      <c r="H593" s="221">
        <v>45176.0</v>
      </c>
      <c r="I593" s="219" t="s">
        <v>1046</v>
      </c>
      <c r="J593" s="219" t="s">
        <v>271</v>
      </c>
      <c r="K593" s="219" t="s">
        <v>449</v>
      </c>
      <c r="L593" s="214" t="s">
        <v>474</v>
      </c>
      <c r="M593" s="222">
        <v>2023.0</v>
      </c>
      <c r="N593" s="214" t="s">
        <v>536</v>
      </c>
      <c r="O593" s="223">
        <v>3.0</v>
      </c>
      <c r="P593" s="224">
        <f t="shared" si="1"/>
        <v>0.0449299258</v>
      </c>
      <c r="Q593" s="214" t="str">
        <f t="shared" si="2"/>
        <v>Medium</v>
      </c>
    </row>
    <row r="594" ht="15.75" customHeight="1">
      <c r="A594" s="214" t="s">
        <v>1047</v>
      </c>
      <c r="B594" s="216">
        <v>4314.0</v>
      </c>
      <c r="C594" s="216">
        <v>1453.0</v>
      </c>
      <c r="D594" s="217">
        <v>6.0</v>
      </c>
      <c r="E594" s="219" t="s">
        <v>216</v>
      </c>
      <c r="F594" s="219" t="s">
        <v>347</v>
      </c>
      <c r="G594" s="214" t="s">
        <v>405</v>
      </c>
      <c r="H594" s="221">
        <v>44418.0</v>
      </c>
      <c r="I594" s="219" t="s">
        <v>1048</v>
      </c>
      <c r="J594" s="219" t="s">
        <v>159</v>
      </c>
      <c r="K594" s="219" t="s">
        <v>552</v>
      </c>
      <c r="L594" s="214" t="s">
        <v>445</v>
      </c>
      <c r="M594" s="222">
        <v>2021.0</v>
      </c>
      <c r="N594" s="214" t="s">
        <v>523</v>
      </c>
      <c r="O594" s="223">
        <v>3.0</v>
      </c>
      <c r="P594" s="224">
        <f t="shared" si="1"/>
        <v>0.3368103848</v>
      </c>
      <c r="Q594" s="214" t="str">
        <f t="shared" si="2"/>
        <v>Medium</v>
      </c>
    </row>
    <row r="595" ht="15.75" customHeight="1">
      <c r="A595" s="214" t="s">
        <v>1049</v>
      </c>
      <c r="B595" s="216">
        <v>3288.0</v>
      </c>
      <c r="C595" s="216">
        <v>1477.0</v>
      </c>
      <c r="D595" s="217">
        <v>3.0</v>
      </c>
      <c r="E595" s="219" t="s">
        <v>242</v>
      </c>
      <c r="F595" s="219" t="s">
        <v>356</v>
      </c>
      <c r="G595" s="214" t="s">
        <v>406</v>
      </c>
      <c r="H595" s="221">
        <v>45438.0</v>
      </c>
      <c r="I595" s="219" t="s">
        <v>1050</v>
      </c>
      <c r="J595" s="219" t="s">
        <v>241</v>
      </c>
      <c r="K595" s="219" t="s">
        <v>504</v>
      </c>
      <c r="L595" s="214" t="s">
        <v>410</v>
      </c>
      <c r="M595" s="222">
        <v>2024.0</v>
      </c>
      <c r="N595" s="214" t="s">
        <v>411</v>
      </c>
      <c r="O595" s="223">
        <v>2.0</v>
      </c>
      <c r="P595" s="224">
        <f t="shared" si="1"/>
        <v>0.4492092457</v>
      </c>
      <c r="Q595" s="214" t="str">
        <f t="shared" si="2"/>
        <v>Medium</v>
      </c>
    </row>
    <row r="596" ht="15.75" customHeight="1">
      <c r="A596" s="214" t="s">
        <v>1049</v>
      </c>
      <c r="B596" s="216">
        <v>3288.0</v>
      </c>
      <c r="C596" s="216">
        <v>1477.0</v>
      </c>
      <c r="D596" s="217">
        <v>3.0</v>
      </c>
      <c r="E596" s="219" t="s">
        <v>242</v>
      </c>
      <c r="F596" s="219" t="s">
        <v>356</v>
      </c>
      <c r="G596" s="214" t="s">
        <v>406</v>
      </c>
      <c r="H596" s="221">
        <v>44611.0</v>
      </c>
      <c r="I596" s="219" t="s">
        <v>1051</v>
      </c>
      <c r="J596" s="219" t="s">
        <v>271</v>
      </c>
      <c r="K596" s="219" t="s">
        <v>449</v>
      </c>
      <c r="L596" s="214" t="s">
        <v>454</v>
      </c>
      <c r="M596" s="222">
        <v>2022.0</v>
      </c>
      <c r="N596" s="214" t="s">
        <v>494</v>
      </c>
      <c r="O596" s="223">
        <v>1.0</v>
      </c>
      <c r="P596" s="224">
        <f t="shared" si="1"/>
        <v>0.4492092457</v>
      </c>
      <c r="Q596" s="214" t="str">
        <f t="shared" si="2"/>
        <v>Medium</v>
      </c>
    </row>
    <row r="597" ht="15.75" customHeight="1">
      <c r="A597" s="214" t="s">
        <v>1052</v>
      </c>
      <c r="B597" s="216">
        <v>3977.0</v>
      </c>
      <c r="C597" s="216">
        <v>813.0</v>
      </c>
      <c r="D597" s="217">
        <v>5.0</v>
      </c>
      <c r="E597" s="219" t="s">
        <v>242</v>
      </c>
      <c r="F597" s="219" t="s">
        <v>362</v>
      </c>
      <c r="G597" s="214" t="s">
        <v>350</v>
      </c>
      <c r="H597" s="221">
        <v>45635.0</v>
      </c>
      <c r="I597" s="219" t="s">
        <v>1053</v>
      </c>
      <c r="J597" s="219" t="s">
        <v>223</v>
      </c>
      <c r="K597" s="219" t="s">
        <v>428</v>
      </c>
      <c r="L597" s="214" t="s">
        <v>399</v>
      </c>
      <c r="M597" s="222">
        <v>2024.0</v>
      </c>
      <c r="N597" s="214" t="s">
        <v>400</v>
      </c>
      <c r="O597" s="223">
        <v>4.0</v>
      </c>
      <c r="P597" s="224">
        <f t="shared" si="1"/>
        <v>0.2044254463</v>
      </c>
      <c r="Q597" s="214" t="str">
        <f t="shared" si="2"/>
        <v>Medium</v>
      </c>
    </row>
    <row r="598" ht="15.75" customHeight="1">
      <c r="A598" s="214" t="s">
        <v>1054</v>
      </c>
      <c r="B598" s="216">
        <v>6252.0</v>
      </c>
      <c r="C598" s="216">
        <v>1377.0</v>
      </c>
      <c r="D598" s="217">
        <v>2.0</v>
      </c>
      <c r="E598" s="219" t="s">
        <v>157</v>
      </c>
      <c r="F598" s="219" t="s">
        <v>354</v>
      </c>
      <c r="G598" s="214" t="s">
        <v>406</v>
      </c>
      <c r="H598" s="221">
        <v>45078.0</v>
      </c>
      <c r="I598" s="219" t="s">
        <v>1055</v>
      </c>
      <c r="J598" s="219" t="s">
        <v>271</v>
      </c>
      <c r="K598" s="219" t="s">
        <v>398</v>
      </c>
      <c r="L598" s="214" t="s">
        <v>395</v>
      </c>
      <c r="M598" s="222">
        <v>2023.0</v>
      </c>
      <c r="N598" s="214" t="s">
        <v>396</v>
      </c>
      <c r="O598" s="223">
        <v>2.0</v>
      </c>
      <c r="P598" s="224">
        <f t="shared" si="1"/>
        <v>0.2202495202</v>
      </c>
      <c r="Q598" s="214" t="str">
        <f t="shared" si="2"/>
        <v>High</v>
      </c>
    </row>
    <row r="599" ht="15.75" customHeight="1">
      <c r="A599" s="214" t="s">
        <v>1056</v>
      </c>
      <c r="B599" s="216">
        <v>9084.0</v>
      </c>
      <c r="C599" s="216">
        <v>3253.0</v>
      </c>
      <c r="D599" s="217">
        <v>12.0</v>
      </c>
      <c r="E599" s="219" t="s">
        <v>242</v>
      </c>
      <c r="F599" s="219" t="s">
        <v>356</v>
      </c>
      <c r="G599" s="214" t="s">
        <v>351</v>
      </c>
      <c r="H599" s="221">
        <v>45235.0</v>
      </c>
      <c r="I599" s="219" t="s">
        <v>1057</v>
      </c>
      <c r="J599" s="219" t="s">
        <v>223</v>
      </c>
      <c r="K599" s="219" t="s">
        <v>402</v>
      </c>
      <c r="L599" s="214" t="s">
        <v>429</v>
      </c>
      <c r="M599" s="222">
        <v>2023.0</v>
      </c>
      <c r="N599" s="214" t="s">
        <v>425</v>
      </c>
      <c r="O599" s="223">
        <v>4.0</v>
      </c>
      <c r="P599" s="224">
        <f t="shared" si="1"/>
        <v>0.3581021576</v>
      </c>
      <c r="Q599" s="214" t="str">
        <f t="shared" si="2"/>
        <v>High</v>
      </c>
    </row>
    <row r="600" ht="15.75" customHeight="1">
      <c r="A600" s="214" t="s">
        <v>1058</v>
      </c>
      <c r="B600" s="216">
        <v>8994.0</v>
      </c>
      <c r="C600" s="216">
        <v>1481.0</v>
      </c>
      <c r="D600" s="217">
        <v>15.0</v>
      </c>
      <c r="E600" s="219" t="s">
        <v>157</v>
      </c>
      <c r="F600" s="219" t="s">
        <v>358</v>
      </c>
      <c r="G600" s="214" t="s">
        <v>350</v>
      </c>
      <c r="H600" s="221">
        <v>44003.0</v>
      </c>
      <c r="I600" s="219" t="s">
        <v>1059</v>
      </c>
      <c r="J600" s="219" t="s">
        <v>117</v>
      </c>
      <c r="K600" s="219" t="s">
        <v>496</v>
      </c>
      <c r="L600" s="214" t="s">
        <v>421</v>
      </c>
      <c r="M600" s="222">
        <v>2020.0</v>
      </c>
      <c r="N600" s="214" t="s">
        <v>396</v>
      </c>
      <c r="O600" s="223">
        <v>2.0</v>
      </c>
      <c r="P600" s="224">
        <f t="shared" si="1"/>
        <v>0.1646653324</v>
      </c>
      <c r="Q600" s="214" t="str">
        <f t="shared" si="2"/>
        <v>High</v>
      </c>
    </row>
    <row r="601" ht="15.75" customHeight="1">
      <c r="A601" s="214" t="s">
        <v>1060</v>
      </c>
      <c r="B601" s="216">
        <v>1089.0</v>
      </c>
      <c r="C601" s="216">
        <v>176.0</v>
      </c>
      <c r="D601" s="217">
        <v>16.0</v>
      </c>
      <c r="E601" s="219" t="s">
        <v>242</v>
      </c>
      <c r="F601" s="219" t="s">
        <v>317</v>
      </c>
      <c r="G601" s="214" t="s">
        <v>406</v>
      </c>
      <c r="H601" s="221">
        <v>44130.0</v>
      </c>
      <c r="I601" s="219" t="s">
        <v>1061</v>
      </c>
      <c r="J601" s="219" t="s">
        <v>241</v>
      </c>
      <c r="K601" s="219" t="s">
        <v>493</v>
      </c>
      <c r="L601" s="214" t="s">
        <v>435</v>
      </c>
      <c r="M601" s="222">
        <v>2020.0</v>
      </c>
      <c r="N601" s="214" t="s">
        <v>414</v>
      </c>
      <c r="O601" s="223">
        <v>4.0</v>
      </c>
      <c r="P601" s="224">
        <f t="shared" si="1"/>
        <v>0.1616161616</v>
      </c>
      <c r="Q601" s="214" t="str">
        <f t="shared" si="2"/>
        <v>Medium</v>
      </c>
    </row>
    <row r="602" ht="15.75" customHeight="1">
      <c r="A602" s="214" t="s">
        <v>1062</v>
      </c>
      <c r="B602" s="216">
        <v>6690.0</v>
      </c>
      <c r="C602" s="216">
        <v>1001.0</v>
      </c>
      <c r="D602" s="217">
        <v>19.0</v>
      </c>
      <c r="E602" s="219" t="s">
        <v>242</v>
      </c>
      <c r="F602" s="219" t="s">
        <v>362</v>
      </c>
      <c r="G602" s="214" t="s">
        <v>392</v>
      </c>
      <c r="H602" s="221">
        <v>44718.0</v>
      </c>
      <c r="I602" s="219" t="s">
        <v>1063</v>
      </c>
      <c r="J602" s="219" t="s">
        <v>271</v>
      </c>
      <c r="K602" s="219" t="s">
        <v>449</v>
      </c>
      <c r="L602" s="214" t="s">
        <v>458</v>
      </c>
      <c r="M602" s="222">
        <v>2022.0</v>
      </c>
      <c r="N602" s="214" t="s">
        <v>396</v>
      </c>
      <c r="O602" s="223">
        <v>2.0</v>
      </c>
      <c r="P602" s="224">
        <f t="shared" si="1"/>
        <v>0.1496263079</v>
      </c>
      <c r="Q602" s="214" t="str">
        <f t="shared" si="2"/>
        <v>High</v>
      </c>
    </row>
    <row r="603" ht="15.75" customHeight="1">
      <c r="A603" s="214" t="s">
        <v>1062</v>
      </c>
      <c r="B603" s="216">
        <v>6690.0</v>
      </c>
      <c r="C603" s="216">
        <v>1001.0</v>
      </c>
      <c r="D603" s="217">
        <v>19.0</v>
      </c>
      <c r="E603" s="219" t="s">
        <v>242</v>
      </c>
      <c r="F603" s="219" t="s">
        <v>362</v>
      </c>
      <c r="G603" s="214" t="s">
        <v>392</v>
      </c>
      <c r="H603" s="221">
        <v>44513.0</v>
      </c>
      <c r="I603" s="219" t="s">
        <v>1064</v>
      </c>
      <c r="J603" s="219" t="s">
        <v>271</v>
      </c>
      <c r="K603" s="219" t="s">
        <v>398</v>
      </c>
      <c r="L603" s="214" t="s">
        <v>451</v>
      </c>
      <c r="M603" s="222">
        <v>2021.0</v>
      </c>
      <c r="N603" s="214" t="s">
        <v>425</v>
      </c>
      <c r="O603" s="223">
        <v>4.0</v>
      </c>
      <c r="P603" s="224">
        <f t="shared" si="1"/>
        <v>0.1496263079</v>
      </c>
      <c r="Q603" s="214" t="str">
        <f t="shared" si="2"/>
        <v>High</v>
      </c>
    </row>
    <row r="604" ht="15.75" customHeight="1">
      <c r="A604" s="214" t="s">
        <v>1062</v>
      </c>
      <c r="B604" s="216">
        <v>4985.0</v>
      </c>
      <c r="C604" s="216">
        <v>1920.0</v>
      </c>
      <c r="D604" s="217">
        <v>10.0</v>
      </c>
      <c r="E604" s="219" t="s">
        <v>216</v>
      </c>
      <c r="F604" s="219" t="s">
        <v>361</v>
      </c>
      <c r="G604" s="214" t="s">
        <v>350</v>
      </c>
      <c r="H604" s="221">
        <v>44718.0</v>
      </c>
      <c r="I604" s="219" t="s">
        <v>1063</v>
      </c>
      <c r="J604" s="219" t="s">
        <v>271</v>
      </c>
      <c r="K604" s="219" t="s">
        <v>449</v>
      </c>
      <c r="L604" s="214" t="s">
        <v>458</v>
      </c>
      <c r="M604" s="222">
        <v>2022.0</v>
      </c>
      <c r="N604" s="214" t="s">
        <v>396</v>
      </c>
      <c r="O604" s="223">
        <v>2.0</v>
      </c>
      <c r="P604" s="224">
        <f t="shared" si="1"/>
        <v>0.3851554664</v>
      </c>
      <c r="Q604" s="214" t="str">
        <f t="shared" si="2"/>
        <v>Medium</v>
      </c>
    </row>
    <row r="605" ht="15.75" customHeight="1">
      <c r="A605" s="214" t="s">
        <v>1062</v>
      </c>
      <c r="B605" s="216">
        <v>4985.0</v>
      </c>
      <c r="C605" s="216">
        <v>1920.0</v>
      </c>
      <c r="D605" s="217">
        <v>10.0</v>
      </c>
      <c r="E605" s="219" t="s">
        <v>216</v>
      </c>
      <c r="F605" s="219" t="s">
        <v>361</v>
      </c>
      <c r="G605" s="214" t="s">
        <v>350</v>
      </c>
      <c r="H605" s="221">
        <v>44513.0</v>
      </c>
      <c r="I605" s="219" t="s">
        <v>1064</v>
      </c>
      <c r="J605" s="219" t="s">
        <v>271</v>
      </c>
      <c r="K605" s="219" t="s">
        <v>398</v>
      </c>
      <c r="L605" s="214" t="s">
        <v>451</v>
      </c>
      <c r="M605" s="222">
        <v>2021.0</v>
      </c>
      <c r="N605" s="214" t="s">
        <v>425</v>
      </c>
      <c r="O605" s="223">
        <v>4.0</v>
      </c>
      <c r="P605" s="224">
        <f t="shared" si="1"/>
        <v>0.3851554664</v>
      </c>
      <c r="Q605" s="214" t="str">
        <f t="shared" si="2"/>
        <v>Medium</v>
      </c>
    </row>
    <row r="606" ht="15.75" customHeight="1">
      <c r="A606" s="214" t="s">
        <v>1065</v>
      </c>
      <c r="B606" s="216">
        <v>8590.0</v>
      </c>
      <c r="C606" s="216">
        <v>3565.0</v>
      </c>
      <c r="D606" s="217">
        <v>15.0</v>
      </c>
      <c r="E606" s="219" t="s">
        <v>157</v>
      </c>
      <c r="F606" s="219" t="s">
        <v>355</v>
      </c>
      <c r="G606" s="214" t="s">
        <v>406</v>
      </c>
      <c r="H606" s="221">
        <v>44511.0</v>
      </c>
      <c r="I606" s="219" t="s">
        <v>1066</v>
      </c>
      <c r="J606" s="219" t="s">
        <v>159</v>
      </c>
      <c r="K606" s="219" t="s">
        <v>394</v>
      </c>
      <c r="L606" s="214" t="s">
        <v>451</v>
      </c>
      <c r="M606" s="222">
        <v>2021.0</v>
      </c>
      <c r="N606" s="214" t="s">
        <v>425</v>
      </c>
      <c r="O606" s="223">
        <v>4.0</v>
      </c>
      <c r="P606" s="224">
        <f t="shared" si="1"/>
        <v>0.4150174622</v>
      </c>
      <c r="Q606" s="214" t="str">
        <f t="shared" si="2"/>
        <v>High</v>
      </c>
    </row>
    <row r="607" ht="15.75" customHeight="1">
      <c r="A607" s="214" t="s">
        <v>1065</v>
      </c>
      <c r="B607" s="216">
        <v>6973.0</v>
      </c>
      <c r="C607" s="216">
        <v>3038.0</v>
      </c>
      <c r="D607" s="217">
        <v>10.0</v>
      </c>
      <c r="E607" s="219" t="s">
        <v>216</v>
      </c>
      <c r="F607" s="219" t="s">
        <v>344</v>
      </c>
      <c r="G607" s="214" t="s">
        <v>405</v>
      </c>
      <c r="H607" s="221">
        <v>44511.0</v>
      </c>
      <c r="I607" s="219" t="s">
        <v>1066</v>
      </c>
      <c r="J607" s="219" t="s">
        <v>159</v>
      </c>
      <c r="K607" s="219" t="s">
        <v>394</v>
      </c>
      <c r="L607" s="214" t="s">
        <v>451</v>
      </c>
      <c r="M607" s="222">
        <v>2021.0</v>
      </c>
      <c r="N607" s="214" t="s">
        <v>425</v>
      </c>
      <c r="O607" s="223">
        <v>4.0</v>
      </c>
      <c r="P607" s="224">
        <f t="shared" si="1"/>
        <v>0.4356804819</v>
      </c>
      <c r="Q607" s="214" t="str">
        <f t="shared" si="2"/>
        <v>High</v>
      </c>
    </row>
    <row r="608" ht="15.75" customHeight="1">
      <c r="A608" s="214" t="s">
        <v>1067</v>
      </c>
      <c r="B608" s="216">
        <v>4591.0</v>
      </c>
      <c r="C608" s="216">
        <v>1941.0</v>
      </c>
      <c r="D608" s="217">
        <v>19.0</v>
      </c>
      <c r="E608" s="219" t="s">
        <v>157</v>
      </c>
      <c r="F608" s="219" t="s">
        <v>354</v>
      </c>
      <c r="G608" s="214" t="s">
        <v>406</v>
      </c>
      <c r="H608" s="221">
        <v>44408.0</v>
      </c>
      <c r="I608" s="219" t="s">
        <v>846</v>
      </c>
      <c r="J608" s="219" t="s">
        <v>241</v>
      </c>
      <c r="K608" s="219" t="s">
        <v>493</v>
      </c>
      <c r="L608" s="214" t="s">
        <v>403</v>
      </c>
      <c r="M608" s="222">
        <v>2021.0</v>
      </c>
      <c r="N608" s="214" t="s">
        <v>404</v>
      </c>
      <c r="O608" s="223">
        <v>3.0</v>
      </c>
      <c r="P608" s="224">
        <f t="shared" si="1"/>
        <v>0.4227837073</v>
      </c>
      <c r="Q608" s="214" t="str">
        <f t="shared" si="2"/>
        <v>Medium</v>
      </c>
    </row>
    <row r="609" ht="15.75" customHeight="1">
      <c r="A609" s="214" t="s">
        <v>1067</v>
      </c>
      <c r="B609" s="216">
        <v>9612.0</v>
      </c>
      <c r="C609" s="216">
        <v>2572.0</v>
      </c>
      <c r="D609" s="217">
        <v>17.0</v>
      </c>
      <c r="E609" s="219" t="s">
        <v>242</v>
      </c>
      <c r="F609" s="219" t="s">
        <v>356</v>
      </c>
      <c r="G609" s="214" t="s">
        <v>350</v>
      </c>
      <c r="H609" s="221">
        <v>44408.0</v>
      </c>
      <c r="I609" s="219" t="s">
        <v>846</v>
      </c>
      <c r="J609" s="219" t="s">
        <v>241</v>
      </c>
      <c r="K609" s="219" t="s">
        <v>493</v>
      </c>
      <c r="L609" s="214" t="s">
        <v>403</v>
      </c>
      <c r="M609" s="222">
        <v>2021.0</v>
      </c>
      <c r="N609" s="214" t="s">
        <v>404</v>
      </c>
      <c r="O609" s="223">
        <v>3.0</v>
      </c>
      <c r="P609" s="224">
        <f t="shared" si="1"/>
        <v>0.2675821889</v>
      </c>
      <c r="Q609" s="214" t="str">
        <f t="shared" si="2"/>
        <v>High</v>
      </c>
    </row>
    <row r="610" ht="15.75" customHeight="1">
      <c r="A610" s="214" t="s">
        <v>1068</v>
      </c>
      <c r="B610" s="216">
        <v>5343.0</v>
      </c>
      <c r="C610" s="216">
        <v>655.0</v>
      </c>
      <c r="D610" s="217">
        <v>1.0</v>
      </c>
      <c r="E610" s="219" t="s">
        <v>216</v>
      </c>
      <c r="F610" s="219" t="s">
        <v>359</v>
      </c>
      <c r="G610" s="214" t="s">
        <v>406</v>
      </c>
      <c r="H610" s="221">
        <v>45395.0</v>
      </c>
      <c r="I610" s="219" t="s">
        <v>1069</v>
      </c>
      <c r="J610" s="219" t="s">
        <v>117</v>
      </c>
      <c r="K610" s="219" t="s">
        <v>496</v>
      </c>
      <c r="L610" s="214" t="s">
        <v>480</v>
      </c>
      <c r="M610" s="222">
        <v>2024.0</v>
      </c>
      <c r="N610" s="214" t="s">
        <v>542</v>
      </c>
      <c r="O610" s="223">
        <v>2.0</v>
      </c>
      <c r="P610" s="224">
        <f t="shared" si="1"/>
        <v>0.1225903051</v>
      </c>
      <c r="Q610" s="214" t="str">
        <f t="shared" si="2"/>
        <v>High</v>
      </c>
    </row>
    <row r="611" ht="15.75" customHeight="1">
      <c r="A611" s="214" t="s">
        <v>1070</v>
      </c>
      <c r="B611" s="216">
        <v>6956.0</v>
      </c>
      <c r="C611" s="216">
        <v>318.0</v>
      </c>
      <c r="D611" s="217">
        <v>20.0</v>
      </c>
      <c r="E611" s="219" t="s">
        <v>242</v>
      </c>
      <c r="F611" s="219" t="s">
        <v>317</v>
      </c>
      <c r="G611" s="214" t="s">
        <v>351</v>
      </c>
      <c r="H611" s="221">
        <v>44670.0</v>
      </c>
      <c r="I611" s="219" t="s">
        <v>1071</v>
      </c>
      <c r="J611" s="219" t="s">
        <v>271</v>
      </c>
      <c r="K611" s="219" t="s">
        <v>449</v>
      </c>
      <c r="L611" s="214" t="s">
        <v>456</v>
      </c>
      <c r="M611" s="222">
        <v>2022.0</v>
      </c>
      <c r="N611" s="214" t="s">
        <v>542</v>
      </c>
      <c r="O611" s="223">
        <v>2.0</v>
      </c>
      <c r="P611" s="224">
        <f t="shared" si="1"/>
        <v>0.04571592869</v>
      </c>
      <c r="Q611" s="214" t="str">
        <f t="shared" si="2"/>
        <v>High</v>
      </c>
    </row>
    <row r="612" ht="15.75" customHeight="1">
      <c r="A612" s="214" t="s">
        <v>1072</v>
      </c>
      <c r="B612" s="216">
        <v>5306.0</v>
      </c>
      <c r="C612" s="216">
        <v>2405.0</v>
      </c>
      <c r="D612" s="217">
        <v>17.0</v>
      </c>
      <c r="E612" s="219" t="s">
        <v>216</v>
      </c>
      <c r="F612" s="219" t="s">
        <v>344</v>
      </c>
      <c r="G612" s="214" t="s">
        <v>406</v>
      </c>
      <c r="H612" s="221">
        <v>45374.0</v>
      </c>
      <c r="I612" s="219" t="s">
        <v>1073</v>
      </c>
      <c r="J612" s="219" t="s">
        <v>223</v>
      </c>
      <c r="K612" s="219" t="s">
        <v>402</v>
      </c>
      <c r="L612" s="214" t="s">
        <v>479</v>
      </c>
      <c r="M612" s="222">
        <v>2024.0</v>
      </c>
      <c r="N612" s="214" t="s">
        <v>433</v>
      </c>
      <c r="O612" s="223">
        <v>1.0</v>
      </c>
      <c r="P612" s="224">
        <f t="shared" si="1"/>
        <v>0.4532604599</v>
      </c>
      <c r="Q612" s="214" t="str">
        <f t="shared" si="2"/>
        <v>High</v>
      </c>
    </row>
    <row r="613" ht="15.75" customHeight="1">
      <c r="A613" s="214" t="s">
        <v>1074</v>
      </c>
      <c r="B613" s="216">
        <v>8982.0</v>
      </c>
      <c r="C613" s="216">
        <v>448.0</v>
      </c>
      <c r="D613" s="217">
        <v>17.0</v>
      </c>
      <c r="E613" s="219" t="s">
        <v>216</v>
      </c>
      <c r="F613" s="219" t="s">
        <v>347</v>
      </c>
      <c r="G613" s="214" t="s">
        <v>392</v>
      </c>
      <c r="H613" s="221">
        <v>44323.0</v>
      </c>
      <c r="I613" s="219" t="s">
        <v>1075</v>
      </c>
      <c r="J613" s="219" t="s">
        <v>223</v>
      </c>
      <c r="K613" s="219" t="s">
        <v>428</v>
      </c>
      <c r="L613" s="214" t="s">
        <v>443</v>
      </c>
      <c r="M613" s="222">
        <v>2021.0</v>
      </c>
      <c r="N613" s="214" t="s">
        <v>411</v>
      </c>
      <c r="O613" s="223">
        <v>2.0</v>
      </c>
      <c r="P613" s="224">
        <f t="shared" si="1"/>
        <v>0.04987753284</v>
      </c>
      <c r="Q613" s="214" t="str">
        <f t="shared" si="2"/>
        <v>High</v>
      </c>
    </row>
    <row r="614" ht="15.75" customHeight="1">
      <c r="A614" s="214" t="s">
        <v>1074</v>
      </c>
      <c r="B614" s="216">
        <v>4826.0</v>
      </c>
      <c r="C614" s="216">
        <v>562.0</v>
      </c>
      <c r="D614" s="217">
        <v>5.0</v>
      </c>
      <c r="E614" s="219" t="s">
        <v>242</v>
      </c>
      <c r="F614" s="219" t="s">
        <v>357</v>
      </c>
      <c r="G614" s="214" t="s">
        <v>351</v>
      </c>
      <c r="H614" s="221">
        <v>44323.0</v>
      </c>
      <c r="I614" s="219" t="s">
        <v>1075</v>
      </c>
      <c r="J614" s="219" t="s">
        <v>223</v>
      </c>
      <c r="K614" s="219" t="s">
        <v>428</v>
      </c>
      <c r="L614" s="214" t="s">
        <v>443</v>
      </c>
      <c r="M614" s="222">
        <v>2021.0</v>
      </c>
      <c r="N614" s="214" t="s">
        <v>411</v>
      </c>
      <c r="O614" s="223">
        <v>2.0</v>
      </c>
      <c r="P614" s="224">
        <f t="shared" si="1"/>
        <v>0.1164525487</v>
      </c>
      <c r="Q614" s="214" t="str">
        <f t="shared" si="2"/>
        <v>Medium</v>
      </c>
    </row>
    <row r="615" ht="15.75" customHeight="1">
      <c r="A615" s="214" t="s">
        <v>1076</v>
      </c>
      <c r="B615" s="216">
        <v>972.0</v>
      </c>
      <c r="C615" s="216">
        <v>106.0</v>
      </c>
      <c r="D615" s="217">
        <v>15.0</v>
      </c>
      <c r="E615" s="219" t="s">
        <v>242</v>
      </c>
      <c r="F615" s="219" t="s">
        <v>356</v>
      </c>
      <c r="G615" s="214" t="s">
        <v>406</v>
      </c>
      <c r="H615" s="221">
        <v>44687.0</v>
      </c>
      <c r="I615" s="219" t="s">
        <v>1077</v>
      </c>
      <c r="J615" s="219" t="s">
        <v>313</v>
      </c>
      <c r="K615" s="219" t="s">
        <v>518</v>
      </c>
      <c r="L615" s="214" t="s">
        <v>457</v>
      </c>
      <c r="M615" s="222">
        <v>2022.0</v>
      </c>
      <c r="N615" s="214" t="s">
        <v>411</v>
      </c>
      <c r="O615" s="223">
        <v>2.0</v>
      </c>
      <c r="P615" s="224">
        <f t="shared" si="1"/>
        <v>0.1090534979</v>
      </c>
      <c r="Q615" s="214" t="str">
        <f t="shared" si="2"/>
        <v>Medium</v>
      </c>
    </row>
    <row r="616" ht="15.75" customHeight="1">
      <c r="A616" s="214" t="s">
        <v>1078</v>
      </c>
      <c r="B616" s="216">
        <v>3665.0</v>
      </c>
      <c r="C616" s="216">
        <v>802.0</v>
      </c>
      <c r="D616" s="217">
        <v>4.0</v>
      </c>
      <c r="E616" s="219" t="s">
        <v>242</v>
      </c>
      <c r="F616" s="219" t="s">
        <v>317</v>
      </c>
      <c r="G616" s="214" t="s">
        <v>350</v>
      </c>
      <c r="H616" s="221">
        <v>44417.0</v>
      </c>
      <c r="I616" s="219" t="s">
        <v>1079</v>
      </c>
      <c r="J616" s="219" t="s">
        <v>159</v>
      </c>
      <c r="K616" s="219" t="s">
        <v>394</v>
      </c>
      <c r="L616" s="214" t="s">
        <v>445</v>
      </c>
      <c r="M616" s="222">
        <v>2021.0</v>
      </c>
      <c r="N616" s="214" t="s">
        <v>523</v>
      </c>
      <c r="O616" s="223">
        <v>3.0</v>
      </c>
      <c r="P616" s="224">
        <f t="shared" si="1"/>
        <v>0.2188267394</v>
      </c>
      <c r="Q616" s="214" t="str">
        <f t="shared" si="2"/>
        <v>Medium</v>
      </c>
    </row>
    <row r="617" ht="15.75" customHeight="1">
      <c r="A617" s="214" t="s">
        <v>1078</v>
      </c>
      <c r="B617" s="216">
        <v>3665.0</v>
      </c>
      <c r="C617" s="216">
        <v>802.0</v>
      </c>
      <c r="D617" s="217">
        <v>4.0</v>
      </c>
      <c r="E617" s="219" t="s">
        <v>242</v>
      </c>
      <c r="F617" s="219" t="s">
        <v>317</v>
      </c>
      <c r="G617" s="214" t="s">
        <v>350</v>
      </c>
      <c r="H617" s="221">
        <v>45697.0</v>
      </c>
      <c r="I617" s="219" t="s">
        <v>1080</v>
      </c>
      <c r="J617" s="219" t="s">
        <v>159</v>
      </c>
      <c r="K617" s="219" t="s">
        <v>552</v>
      </c>
      <c r="L617" s="214" t="s">
        <v>488</v>
      </c>
      <c r="M617" s="222">
        <v>2025.0</v>
      </c>
      <c r="N617" s="214" t="s">
        <v>494</v>
      </c>
      <c r="O617" s="223">
        <v>1.0</v>
      </c>
      <c r="P617" s="224">
        <f t="shared" si="1"/>
        <v>0.2188267394</v>
      </c>
      <c r="Q617" s="214" t="str">
        <f t="shared" si="2"/>
        <v>Medium</v>
      </c>
    </row>
    <row r="618" ht="15.75" customHeight="1">
      <c r="A618" s="214" t="s">
        <v>1081</v>
      </c>
      <c r="B618" s="216">
        <v>9808.0</v>
      </c>
      <c r="C618" s="216">
        <v>2117.0</v>
      </c>
      <c r="D618" s="217">
        <v>2.0</v>
      </c>
      <c r="E618" s="219" t="s">
        <v>242</v>
      </c>
      <c r="F618" s="219" t="s">
        <v>356</v>
      </c>
      <c r="G618" s="214" t="s">
        <v>392</v>
      </c>
      <c r="H618" s="221">
        <v>45405.0</v>
      </c>
      <c r="I618" s="219" t="s">
        <v>1082</v>
      </c>
      <c r="J618" s="219" t="s">
        <v>117</v>
      </c>
      <c r="K618" s="219" t="s">
        <v>423</v>
      </c>
      <c r="L618" s="214" t="s">
        <v>480</v>
      </c>
      <c r="M618" s="222">
        <v>2024.0</v>
      </c>
      <c r="N618" s="214" t="s">
        <v>542</v>
      </c>
      <c r="O618" s="223">
        <v>2.0</v>
      </c>
      <c r="P618" s="224">
        <f t="shared" si="1"/>
        <v>0.2158442088</v>
      </c>
      <c r="Q618" s="214" t="str">
        <f t="shared" si="2"/>
        <v>High</v>
      </c>
    </row>
    <row r="619" ht="15.75" customHeight="1">
      <c r="A619" s="214" t="s">
        <v>1083</v>
      </c>
      <c r="B619" s="216">
        <v>1133.0</v>
      </c>
      <c r="C619" s="216">
        <v>73.0</v>
      </c>
      <c r="D619" s="217">
        <v>17.0</v>
      </c>
      <c r="E619" s="219" t="s">
        <v>216</v>
      </c>
      <c r="F619" s="219" t="s">
        <v>359</v>
      </c>
      <c r="G619" s="214" t="s">
        <v>392</v>
      </c>
      <c r="H619" s="221">
        <v>44980.0</v>
      </c>
      <c r="I619" s="219" t="s">
        <v>1084</v>
      </c>
      <c r="J619" s="219" t="s">
        <v>313</v>
      </c>
      <c r="K619" s="219" t="s">
        <v>526</v>
      </c>
      <c r="L619" s="214" t="s">
        <v>466</v>
      </c>
      <c r="M619" s="222">
        <v>2023.0</v>
      </c>
      <c r="N619" s="214" t="s">
        <v>494</v>
      </c>
      <c r="O619" s="223">
        <v>1.0</v>
      </c>
      <c r="P619" s="224">
        <f t="shared" si="1"/>
        <v>0.06443071492</v>
      </c>
      <c r="Q619" s="214" t="str">
        <f t="shared" si="2"/>
        <v>Medium</v>
      </c>
    </row>
    <row r="620" ht="15.75" customHeight="1">
      <c r="A620" s="214" t="s">
        <v>1083</v>
      </c>
      <c r="B620" s="216">
        <v>1133.0</v>
      </c>
      <c r="C620" s="216">
        <v>73.0</v>
      </c>
      <c r="D620" s="217">
        <v>17.0</v>
      </c>
      <c r="E620" s="219" t="s">
        <v>216</v>
      </c>
      <c r="F620" s="219" t="s">
        <v>359</v>
      </c>
      <c r="G620" s="214" t="s">
        <v>392</v>
      </c>
      <c r="H620" s="221">
        <v>45449.0</v>
      </c>
      <c r="I620" s="219" t="s">
        <v>1085</v>
      </c>
      <c r="J620" s="219" t="s">
        <v>117</v>
      </c>
      <c r="K620" s="219" t="s">
        <v>496</v>
      </c>
      <c r="L620" s="214" t="s">
        <v>481</v>
      </c>
      <c r="M620" s="222">
        <v>2024.0</v>
      </c>
      <c r="N620" s="214" t="s">
        <v>396</v>
      </c>
      <c r="O620" s="223">
        <v>2.0</v>
      </c>
      <c r="P620" s="224">
        <f t="shared" si="1"/>
        <v>0.06443071492</v>
      </c>
      <c r="Q620" s="214" t="str">
        <f t="shared" si="2"/>
        <v>Medium</v>
      </c>
    </row>
    <row r="621" ht="15.75" customHeight="1">
      <c r="A621" s="214" t="s">
        <v>1083</v>
      </c>
      <c r="B621" s="216">
        <v>6248.0</v>
      </c>
      <c r="C621" s="216">
        <v>1168.0</v>
      </c>
      <c r="D621" s="217">
        <v>19.0</v>
      </c>
      <c r="E621" s="219" t="s">
        <v>216</v>
      </c>
      <c r="F621" s="219" t="s">
        <v>361</v>
      </c>
      <c r="G621" s="214" t="s">
        <v>405</v>
      </c>
      <c r="H621" s="221">
        <v>44980.0</v>
      </c>
      <c r="I621" s="219" t="s">
        <v>1084</v>
      </c>
      <c r="J621" s="219" t="s">
        <v>313</v>
      </c>
      <c r="K621" s="219" t="s">
        <v>526</v>
      </c>
      <c r="L621" s="214" t="s">
        <v>466</v>
      </c>
      <c r="M621" s="222">
        <v>2023.0</v>
      </c>
      <c r="N621" s="214" t="s">
        <v>494</v>
      </c>
      <c r="O621" s="223">
        <v>1.0</v>
      </c>
      <c r="P621" s="224">
        <f t="shared" si="1"/>
        <v>0.1869398207</v>
      </c>
      <c r="Q621" s="214" t="str">
        <f t="shared" si="2"/>
        <v>High</v>
      </c>
    </row>
    <row r="622" ht="15.75" customHeight="1">
      <c r="A622" s="214" t="s">
        <v>1083</v>
      </c>
      <c r="B622" s="216">
        <v>6248.0</v>
      </c>
      <c r="C622" s="216">
        <v>1168.0</v>
      </c>
      <c r="D622" s="217">
        <v>19.0</v>
      </c>
      <c r="E622" s="219" t="s">
        <v>216</v>
      </c>
      <c r="F622" s="219" t="s">
        <v>361</v>
      </c>
      <c r="G622" s="214" t="s">
        <v>405</v>
      </c>
      <c r="H622" s="221">
        <v>45449.0</v>
      </c>
      <c r="I622" s="219" t="s">
        <v>1085</v>
      </c>
      <c r="J622" s="219" t="s">
        <v>117</v>
      </c>
      <c r="K622" s="219" t="s">
        <v>496</v>
      </c>
      <c r="L622" s="214" t="s">
        <v>481</v>
      </c>
      <c r="M622" s="222">
        <v>2024.0</v>
      </c>
      <c r="N622" s="214" t="s">
        <v>396</v>
      </c>
      <c r="O622" s="223">
        <v>2.0</v>
      </c>
      <c r="P622" s="224">
        <f t="shared" si="1"/>
        <v>0.1869398207</v>
      </c>
      <c r="Q622" s="214" t="str">
        <f t="shared" si="2"/>
        <v>High</v>
      </c>
    </row>
    <row r="623" ht="15.75" customHeight="1">
      <c r="A623" s="214" t="s">
        <v>1086</v>
      </c>
      <c r="B623" s="216">
        <v>5666.0</v>
      </c>
      <c r="C623" s="216">
        <v>2733.0</v>
      </c>
      <c r="D623" s="217">
        <v>17.0</v>
      </c>
      <c r="E623" s="219" t="s">
        <v>157</v>
      </c>
      <c r="F623" s="219" t="s">
        <v>355</v>
      </c>
      <c r="G623" s="214" t="s">
        <v>350</v>
      </c>
      <c r="H623" s="221">
        <v>45684.0</v>
      </c>
      <c r="I623" s="219" t="s">
        <v>1087</v>
      </c>
      <c r="J623" s="219" t="s">
        <v>159</v>
      </c>
      <c r="K623" s="219" t="s">
        <v>552</v>
      </c>
      <c r="L623" s="214" t="s">
        <v>487</v>
      </c>
      <c r="M623" s="222">
        <v>2025.0</v>
      </c>
      <c r="N623" s="214" t="s">
        <v>497</v>
      </c>
      <c r="O623" s="223">
        <v>1.0</v>
      </c>
      <c r="P623" s="224">
        <f t="shared" si="1"/>
        <v>0.4823508648</v>
      </c>
      <c r="Q623" s="214" t="str">
        <f t="shared" si="2"/>
        <v>High</v>
      </c>
    </row>
    <row r="624" ht="15.75" customHeight="1">
      <c r="A624" s="214" t="s">
        <v>1088</v>
      </c>
      <c r="B624" s="216">
        <v>4171.0</v>
      </c>
      <c r="C624" s="216">
        <v>1450.0</v>
      </c>
      <c r="D624" s="217">
        <v>18.0</v>
      </c>
      <c r="E624" s="219" t="s">
        <v>242</v>
      </c>
      <c r="F624" s="219" t="s">
        <v>317</v>
      </c>
      <c r="G624" s="214" t="s">
        <v>405</v>
      </c>
      <c r="H624" s="221">
        <v>45023.0</v>
      </c>
      <c r="I624" s="219" t="s">
        <v>1089</v>
      </c>
      <c r="J624" s="219" t="s">
        <v>241</v>
      </c>
      <c r="K624" s="219" t="s">
        <v>493</v>
      </c>
      <c r="L624" s="214" t="s">
        <v>468</v>
      </c>
      <c r="M624" s="222">
        <v>2023.0</v>
      </c>
      <c r="N624" s="214" t="s">
        <v>542</v>
      </c>
      <c r="O624" s="223">
        <v>2.0</v>
      </c>
      <c r="P624" s="224">
        <f t="shared" si="1"/>
        <v>0.347638456</v>
      </c>
      <c r="Q624" s="214" t="str">
        <f t="shared" si="2"/>
        <v>Medium</v>
      </c>
    </row>
    <row r="625" ht="15.75" customHeight="1">
      <c r="A625" s="214" t="s">
        <v>1090</v>
      </c>
      <c r="B625" s="216">
        <v>6236.0</v>
      </c>
      <c r="C625" s="216">
        <v>2839.0</v>
      </c>
      <c r="D625" s="217">
        <v>7.0</v>
      </c>
      <c r="E625" s="219" t="s">
        <v>157</v>
      </c>
      <c r="F625" s="219" t="s">
        <v>354</v>
      </c>
      <c r="G625" s="214" t="s">
        <v>350</v>
      </c>
      <c r="H625" s="221">
        <v>44581.0</v>
      </c>
      <c r="I625" s="219" t="s">
        <v>1091</v>
      </c>
      <c r="J625" s="219" t="s">
        <v>271</v>
      </c>
      <c r="K625" s="219" t="s">
        <v>449</v>
      </c>
      <c r="L625" s="214" t="s">
        <v>453</v>
      </c>
      <c r="M625" s="222">
        <v>2022.0</v>
      </c>
      <c r="N625" s="214" t="s">
        <v>497</v>
      </c>
      <c r="O625" s="223">
        <v>1.0</v>
      </c>
      <c r="P625" s="224">
        <f t="shared" si="1"/>
        <v>0.4552597819</v>
      </c>
      <c r="Q625" s="214" t="str">
        <f t="shared" si="2"/>
        <v>High</v>
      </c>
    </row>
    <row r="626" ht="15.75" customHeight="1">
      <c r="A626" s="214" t="s">
        <v>1090</v>
      </c>
      <c r="B626" s="216">
        <v>6236.0</v>
      </c>
      <c r="C626" s="216">
        <v>2839.0</v>
      </c>
      <c r="D626" s="217">
        <v>7.0</v>
      </c>
      <c r="E626" s="219" t="s">
        <v>157</v>
      </c>
      <c r="F626" s="219" t="s">
        <v>354</v>
      </c>
      <c r="G626" s="214" t="s">
        <v>350</v>
      </c>
      <c r="H626" s="221">
        <v>44691.0</v>
      </c>
      <c r="I626" s="219" t="s">
        <v>1092</v>
      </c>
      <c r="J626" s="219" t="s">
        <v>159</v>
      </c>
      <c r="K626" s="219" t="s">
        <v>409</v>
      </c>
      <c r="L626" s="214" t="s">
        <v>457</v>
      </c>
      <c r="M626" s="222">
        <v>2022.0</v>
      </c>
      <c r="N626" s="214" t="s">
        <v>411</v>
      </c>
      <c r="O626" s="223">
        <v>2.0</v>
      </c>
      <c r="P626" s="224">
        <f t="shared" si="1"/>
        <v>0.4552597819</v>
      </c>
      <c r="Q626" s="214" t="str">
        <f t="shared" si="2"/>
        <v>High</v>
      </c>
    </row>
    <row r="627" ht="15.75" customHeight="1">
      <c r="A627" s="214" t="s">
        <v>1093</v>
      </c>
      <c r="B627" s="216">
        <v>5410.0</v>
      </c>
      <c r="C627" s="216">
        <v>2456.0</v>
      </c>
      <c r="D627" s="217">
        <v>8.0</v>
      </c>
      <c r="E627" s="219" t="s">
        <v>216</v>
      </c>
      <c r="F627" s="219" t="s">
        <v>359</v>
      </c>
      <c r="G627" s="214" t="s">
        <v>350</v>
      </c>
      <c r="H627" s="221">
        <v>45441.0</v>
      </c>
      <c r="I627" s="219" t="s">
        <v>1094</v>
      </c>
      <c r="J627" s="219" t="s">
        <v>117</v>
      </c>
      <c r="K627" s="219" t="s">
        <v>423</v>
      </c>
      <c r="L627" s="214" t="s">
        <v>410</v>
      </c>
      <c r="M627" s="222">
        <v>2024.0</v>
      </c>
      <c r="N627" s="214" t="s">
        <v>411</v>
      </c>
      <c r="O627" s="223">
        <v>2.0</v>
      </c>
      <c r="P627" s="224">
        <f t="shared" si="1"/>
        <v>0.453974122</v>
      </c>
      <c r="Q627" s="214" t="str">
        <f t="shared" si="2"/>
        <v>High</v>
      </c>
    </row>
    <row r="628" ht="15.75" customHeight="1">
      <c r="A628" s="214" t="s">
        <v>1093</v>
      </c>
      <c r="B628" s="216">
        <v>5410.0</v>
      </c>
      <c r="C628" s="216">
        <v>2456.0</v>
      </c>
      <c r="D628" s="217">
        <v>8.0</v>
      </c>
      <c r="E628" s="219" t="s">
        <v>216</v>
      </c>
      <c r="F628" s="219" t="s">
        <v>359</v>
      </c>
      <c r="G628" s="214" t="s">
        <v>350</v>
      </c>
      <c r="H628" s="221">
        <v>44565.0</v>
      </c>
      <c r="I628" s="219" t="s">
        <v>1095</v>
      </c>
      <c r="J628" s="219" t="s">
        <v>159</v>
      </c>
      <c r="K628" s="219" t="s">
        <v>552</v>
      </c>
      <c r="L628" s="214" t="s">
        <v>453</v>
      </c>
      <c r="M628" s="222">
        <v>2022.0</v>
      </c>
      <c r="N628" s="214" t="s">
        <v>497</v>
      </c>
      <c r="O628" s="223">
        <v>1.0</v>
      </c>
      <c r="P628" s="224">
        <f t="shared" si="1"/>
        <v>0.453974122</v>
      </c>
      <c r="Q628" s="214" t="str">
        <f t="shared" si="2"/>
        <v>High</v>
      </c>
    </row>
    <row r="629" ht="15.75" customHeight="1">
      <c r="A629" s="214" t="s">
        <v>1096</v>
      </c>
      <c r="B629" s="216">
        <v>3024.0</v>
      </c>
      <c r="C629" s="216">
        <v>1353.0</v>
      </c>
      <c r="D629" s="217">
        <v>1.0</v>
      </c>
      <c r="E629" s="219" t="s">
        <v>216</v>
      </c>
      <c r="F629" s="219" t="s">
        <v>347</v>
      </c>
      <c r="G629" s="214" t="s">
        <v>350</v>
      </c>
      <c r="H629" s="221">
        <v>45414.0</v>
      </c>
      <c r="I629" s="219" t="s">
        <v>1097</v>
      </c>
      <c r="J629" s="219" t="s">
        <v>117</v>
      </c>
      <c r="K629" s="219" t="s">
        <v>423</v>
      </c>
      <c r="L629" s="214" t="s">
        <v>410</v>
      </c>
      <c r="M629" s="222">
        <v>2024.0</v>
      </c>
      <c r="N629" s="214" t="s">
        <v>411</v>
      </c>
      <c r="O629" s="223">
        <v>2.0</v>
      </c>
      <c r="P629" s="224">
        <f t="shared" si="1"/>
        <v>0.4474206349</v>
      </c>
      <c r="Q629" s="214" t="str">
        <f t="shared" si="2"/>
        <v>Medium</v>
      </c>
    </row>
    <row r="630" ht="15.75" customHeight="1">
      <c r="A630" s="214" t="s">
        <v>1096</v>
      </c>
      <c r="B630" s="216">
        <v>3024.0</v>
      </c>
      <c r="C630" s="216">
        <v>1353.0</v>
      </c>
      <c r="D630" s="217">
        <v>1.0</v>
      </c>
      <c r="E630" s="219" t="s">
        <v>216</v>
      </c>
      <c r="F630" s="219" t="s">
        <v>347</v>
      </c>
      <c r="G630" s="214" t="s">
        <v>350</v>
      </c>
      <c r="H630" s="221">
        <v>44558.0</v>
      </c>
      <c r="I630" s="219" t="s">
        <v>1098</v>
      </c>
      <c r="J630" s="219" t="s">
        <v>313</v>
      </c>
      <c r="K630" s="219" t="s">
        <v>512</v>
      </c>
      <c r="L630" s="214" t="s">
        <v>452</v>
      </c>
      <c r="M630" s="222">
        <v>2021.0</v>
      </c>
      <c r="N630" s="214" t="s">
        <v>400</v>
      </c>
      <c r="O630" s="223">
        <v>4.0</v>
      </c>
      <c r="P630" s="224">
        <f t="shared" si="1"/>
        <v>0.4474206349</v>
      </c>
      <c r="Q630" s="214" t="str">
        <f t="shared" si="2"/>
        <v>Medium</v>
      </c>
    </row>
    <row r="631" ht="15.75" customHeight="1">
      <c r="A631" s="214" t="s">
        <v>1099</v>
      </c>
      <c r="B631" s="216">
        <v>7434.0</v>
      </c>
      <c r="C631" s="216">
        <v>2851.0</v>
      </c>
      <c r="D631" s="217">
        <v>5.0</v>
      </c>
      <c r="E631" s="219" t="s">
        <v>242</v>
      </c>
      <c r="F631" s="219" t="s">
        <v>317</v>
      </c>
      <c r="G631" s="214" t="s">
        <v>392</v>
      </c>
      <c r="H631" s="221">
        <v>44907.0</v>
      </c>
      <c r="I631" s="219" t="s">
        <v>1100</v>
      </c>
      <c r="J631" s="219" t="s">
        <v>271</v>
      </c>
      <c r="K631" s="219" t="s">
        <v>449</v>
      </c>
      <c r="L631" s="214" t="s">
        <v>464</v>
      </c>
      <c r="M631" s="222">
        <v>2022.0</v>
      </c>
      <c r="N631" s="214" t="s">
        <v>400</v>
      </c>
      <c r="O631" s="223">
        <v>4.0</v>
      </c>
      <c r="P631" s="224">
        <f t="shared" si="1"/>
        <v>0.3835082055</v>
      </c>
      <c r="Q631" s="214" t="str">
        <f t="shared" si="2"/>
        <v>High</v>
      </c>
    </row>
    <row r="632" ht="15.75" customHeight="1">
      <c r="A632" s="214" t="s">
        <v>1101</v>
      </c>
      <c r="B632" s="216">
        <v>7213.0</v>
      </c>
      <c r="C632" s="216">
        <v>508.0</v>
      </c>
      <c r="D632" s="217">
        <v>19.0</v>
      </c>
      <c r="E632" s="219" t="s">
        <v>157</v>
      </c>
      <c r="F632" s="219" t="s">
        <v>355</v>
      </c>
      <c r="G632" s="214" t="s">
        <v>351</v>
      </c>
      <c r="H632" s="221">
        <v>45155.0</v>
      </c>
      <c r="I632" s="219" t="s">
        <v>1102</v>
      </c>
      <c r="J632" s="219" t="s">
        <v>241</v>
      </c>
      <c r="K632" s="219" t="s">
        <v>493</v>
      </c>
      <c r="L632" s="214" t="s">
        <v>472</v>
      </c>
      <c r="M632" s="222">
        <v>2023.0</v>
      </c>
      <c r="N632" s="214" t="s">
        <v>523</v>
      </c>
      <c r="O632" s="223">
        <v>3.0</v>
      </c>
      <c r="P632" s="224">
        <f t="shared" si="1"/>
        <v>0.07042839318</v>
      </c>
      <c r="Q632" s="214" t="str">
        <f t="shared" si="2"/>
        <v>High</v>
      </c>
    </row>
    <row r="633" ht="15.75" customHeight="1">
      <c r="A633" s="214" t="s">
        <v>1101</v>
      </c>
      <c r="B633" s="216">
        <v>7213.0</v>
      </c>
      <c r="C633" s="216">
        <v>508.0</v>
      </c>
      <c r="D633" s="217">
        <v>19.0</v>
      </c>
      <c r="E633" s="219" t="s">
        <v>157</v>
      </c>
      <c r="F633" s="219" t="s">
        <v>355</v>
      </c>
      <c r="G633" s="214" t="s">
        <v>351</v>
      </c>
      <c r="H633" s="221">
        <v>44529.0</v>
      </c>
      <c r="I633" s="219" t="s">
        <v>1103</v>
      </c>
      <c r="J633" s="219" t="s">
        <v>313</v>
      </c>
      <c r="K633" s="219" t="s">
        <v>518</v>
      </c>
      <c r="L633" s="214" t="s">
        <v>451</v>
      </c>
      <c r="M633" s="222">
        <v>2021.0</v>
      </c>
      <c r="N633" s="214" t="s">
        <v>425</v>
      </c>
      <c r="O633" s="223">
        <v>4.0</v>
      </c>
      <c r="P633" s="224">
        <f t="shared" si="1"/>
        <v>0.07042839318</v>
      </c>
      <c r="Q633" s="214" t="str">
        <f t="shared" si="2"/>
        <v>High</v>
      </c>
    </row>
    <row r="634" ht="15.75" customHeight="1">
      <c r="A634" s="214" t="s">
        <v>1101</v>
      </c>
      <c r="B634" s="216">
        <v>3176.0</v>
      </c>
      <c r="C634" s="216">
        <v>586.0</v>
      </c>
      <c r="D634" s="217">
        <v>9.0</v>
      </c>
      <c r="E634" s="219" t="s">
        <v>216</v>
      </c>
      <c r="F634" s="219" t="s">
        <v>344</v>
      </c>
      <c r="G634" s="214" t="s">
        <v>406</v>
      </c>
      <c r="H634" s="221">
        <v>45155.0</v>
      </c>
      <c r="I634" s="219" t="s">
        <v>1102</v>
      </c>
      <c r="J634" s="219" t="s">
        <v>241</v>
      </c>
      <c r="K634" s="219" t="s">
        <v>493</v>
      </c>
      <c r="L634" s="214" t="s">
        <v>472</v>
      </c>
      <c r="M634" s="222">
        <v>2023.0</v>
      </c>
      <c r="N634" s="214" t="s">
        <v>523</v>
      </c>
      <c r="O634" s="223">
        <v>3.0</v>
      </c>
      <c r="P634" s="224">
        <f t="shared" si="1"/>
        <v>0.1845088161</v>
      </c>
      <c r="Q634" s="214" t="str">
        <f t="shared" si="2"/>
        <v>Medium</v>
      </c>
    </row>
    <row r="635" ht="15.75" customHeight="1">
      <c r="A635" s="214" t="s">
        <v>1101</v>
      </c>
      <c r="B635" s="216">
        <v>3176.0</v>
      </c>
      <c r="C635" s="216">
        <v>586.0</v>
      </c>
      <c r="D635" s="217">
        <v>9.0</v>
      </c>
      <c r="E635" s="219" t="s">
        <v>216</v>
      </c>
      <c r="F635" s="219" t="s">
        <v>344</v>
      </c>
      <c r="G635" s="214" t="s">
        <v>406</v>
      </c>
      <c r="H635" s="221">
        <v>44529.0</v>
      </c>
      <c r="I635" s="219" t="s">
        <v>1103</v>
      </c>
      <c r="J635" s="219" t="s">
        <v>313</v>
      </c>
      <c r="K635" s="219" t="s">
        <v>518</v>
      </c>
      <c r="L635" s="214" t="s">
        <v>451</v>
      </c>
      <c r="M635" s="222">
        <v>2021.0</v>
      </c>
      <c r="N635" s="214" t="s">
        <v>425</v>
      </c>
      <c r="O635" s="223">
        <v>4.0</v>
      </c>
      <c r="P635" s="224">
        <f t="shared" si="1"/>
        <v>0.1845088161</v>
      </c>
      <c r="Q635" s="214" t="str">
        <f t="shared" si="2"/>
        <v>Medium</v>
      </c>
    </row>
    <row r="636" ht="15.75" customHeight="1">
      <c r="A636" s="214" t="s">
        <v>1104</v>
      </c>
      <c r="B636" s="216">
        <v>9144.0</v>
      </c>
      <c r="C636" s="216">
        <v>2220.0</v>
      </c>
      <c r="D636" s="217">
        <v>18.0</v>
      </c>
      <c r="E636" s="219" t="s">
        <v>242</v>
      </c>
      <c r="F636" s="219" t="s">
        <v>362</v>
      </c>
      <c r="G636" s="214" t="s">
        <v>350</v>
      </c>
      <c r="H636" s="221">
        <v>44360.0</v>
      </c>
      <c r="I636" s="219" t="s">
        <v>1105</v>
      </c>
      <c r="J636" s="219" t="s">
        <v>159</v>
      </c>
      <c r="K636" s="219" t="s">
        <v>394</v>
      </c>
      <c r="L636" s="214" t="s">
        <v>444</v>
      </c>
      <c r="M636" s="222">
        <v>2021.0</v>
      </c>
      <c r="N636" s="214" t="s">
        <v>396</v>
      </c>
      <c r="O636" s="223">
        <v>2.0</v>
      </c>
      <c r="P636" s="224">
        <f t="shared" si="1"/>
        <v>0.2427821522</v>
      </c>
      <c r="Q636" s="214" t="str">
        <f t="shared" si="2"/>
        <v>High</v>
      </c>
    </row>
    <row r="637" ht="15.75" customHeight="1">
      <c r="A637" s="214" t="s">
        <v>1106</v>
      </c>
      <c r="B637" s="216">
        <v>4146.0</v>
      </c>
      <c r="C637" s="216">
        <v>865.0</v>
      </c>
      <c r="D637" s="217">
        <v>19.0</v>
      </c>
      <c r="E637" s="219" t="s">
        <v>216</v>
      </c>
      <c r="F637" s="219" t="s">
        <v>344</v>
      </c>
      <c r="G637" s="214" t="s">
        <v>406</v>
      </c>
      <c r="H637" s="221">
        <v>44746.0</v>
      </c>
      <c r="I637" s="219" t="s">
        <v>1107</v>
      </c>
      <c r="J637" s="219" t="s">
        <v>241</v>
      </c>
      <c r="K637" s="219" t="s">
        <v>541</v>
      </c>
      <c r="L637" s="214" t="s">
        <v>460</v>
      </c>
      <c r="M637" s="222">
        <v>2022.0</v>
      </c>
      <c r="N637" s="214" t="s">
        <v>404</v>
      </c>
      <c r="O637" s="223">
        <v>3.0</v>
      </c>
      <c r="P637" s="224">
        <f t="shared" si="1"/>
        <v>0.2086348288</v>
      </c>
      <c r="Q637" s="214" t="str">
        <f t="shared" si="2"/>
        <v>Medium</v>
      </c>
    </row>
    <row r="638" ht="15.75" customHeight="1">
      <c r="A638" s="214" t="s">
        <v>1106</v>
      </c>
      <c r="B638" s="216">
        <v>3793.0</v>
      </c>
      <c r="C638" s="216">
        <v>875.0</v>
      </c>
      <c r="D638" s="217">
        <v>7.0</v>
      </c>
      <c r="E638" s="219" t="s">
        <v>216</v>
      </c>
      <c r="F638" s="219" t="s">
        <v>344</v>
      </c>
      <c r="G638" s="214" t="s">
        <v>406</v>
      </c>
      <c r="H638" s="221">
        <v>44746.0</v>
      </c>
      <c r="I638" s="219" t="s">
        <v>1107</v>
      </c>
      <c r="J638" s="219" t="s">
        <v>241</v>
      </c>
      <c r="K638" s="219" t="s">
        <v>541</v>
      </c>
      <c r="L638" s="214" t="s">
        <v>460</v>
      </c>
      <c r="M638" s="222">
        <v>2022.0</v>
      </c>
      <c r="N638" s="214" t="s">
        <v>404</v>
      </c>
      <c r="O638" s="223">
        <v>3.0</v>
      </c>
      <c r="P638" s="224">
        <f t="shared" si="1"/>
        <v>0.2306881097</v>
      </c>
      <c r="Q638" s="214" t="str">
        <f t="shared" si="2"/>
        <v>Medium</v>
      </c>
    </row>
    <row r="639" ht="15.75" customHeight="1">
      <c r="A639" s="214" t="s">
        <v>1108</v>
      </c>
      <c r="B639" s="216">
        <v>7169.0</v>
      </c>
      <c r="C639" s="216">
        <v>2385.0</v>
      </c>
      <c r="D639" s="217">
        <v>11.0</v>
      </c>
      <c r="E639" s="219" t="s">
        <v>216</v>
      </c>
      <c r="F639" s="219" t="s">
        <v>347</v>
      </c>
      <c r="G639" s="214" t="s">
        <v>405</v>
      </c>
      <c r="H639" s="221">
        <v>44374.0</v>
      </c>
      <c r="I639" s="219" t="s">
        <v>1109</v>
      </c>
      <c r="J639" s="219" t="s">
        <v>117</v>
      </c>
      <c r="K639" s="219" t="s">
        <v>423</v>
      </c>
      <c r="L639" s="214" t="s">
        <v>444</v>
      </c>
      <c r="M639" s="222">
        <v>2021.0</v>
      </c>
      <c r="N639" s="214" t="s">
        <v>396</v>
      </c>
      <c r="O639" s="223">
        <v>2.0</v>
      </c>
      <c r="P639" s="224">
        <f t="shared" si="1"/>
        <v>0.3326823825</v>
      </c>
      <c r="Q639" s="214" t="str">
        <f t="shared" si="2"/>
        <v>High</v>
      </c>
    </row>
    <row r="640" ht="15.75" customHeight="1">
      <c r="A640" s="214" t="s">
        <v>1108</v>
      </c>
      <c r="B640" s="216">
        <v>4046.0</v>
      </c>
      <c r="C640" s="216">
        <v>417.0</v>
      </c>
      <c r="D640" s="217">
        <v>18.0</v>
      </c>
      <c r="E640" s="219" t="s">
        <v>216</v>
      </c>
      <c r="F640" s="219" t="s">
        <v>359</v>
      </c>
      <c r="G640" s="214" t="s">
        <v>350</v>
      </c>
      <c r="H640" s="221">
        <v>44374.0</v>
      </c>
      <c r="I640" s="219" t="s">
        <v>1109</v>
      </c>
      <c r="J640" s="219" t="s">
        <v>117</v>
      </c>
      <c r="K640" s="219" t="s">
        <v>423</v>
      </c>
      <c r="L640" s="214" t="s">
        <v>444</v>
      </c>
      <c r="M640" s="222">
        <v>2021.0</v>
      </c>
      <c r="N640" s="214" t="s">
        <v>396</v>
      </c>
      <c r="O640" s="223">
        <v>2.0</v>
      </c>
      <c r="P640" s="224">
        <f t="shared" si="1"/>
        <v>0.1030647553</v>
      </c>
      <c r="Q640" s="214" t="str">
        <f t="shared" si="2"/>
        <v>Medium</v>
      </c>
    </row>
    <row r="641" ht="15.75" customHeight="1">
      <c r="A641" s="214" t="s">
        <v>1110</v>
      </c>
      <c r="B641" s="216">
        <v>4164.0</v>
      </c>
      <c r="C641" s="216">
        <v>905.0</v>
      </c>
      <c r="D641" s="217">
        <v>11.0</v>
      </c>
      <c r="E641" s="219" t="s">
        <v>157</v>
      </c>
      <c r="F641" s="219" t="s">
        <v>358</v>
      </c>
      <c r="G641" s="214" t="s">
        <v>405</v>
      </c>
      <c r="H641" s="221">
        <v>45264.0</v>
      </c>
      <c r="I641" s="219" t="s">
        <v>1111</v>
      </c>
      <c r="J641" s="219" t="s">
        <v>117</v>
      </c>
      <c r="K641" s="219" t="s">
        <v>496</v>
      </c>
      <c r="L641" s="214" t="s">
        <v>476</v>
      </c>
      <c r="M641" s="222">
        <v>2023.0</v>
      </c>
      <c r="N641" s="214" t="s">
        <v>400</v>
      </c>
      <c r="O641" s="223">
        <v>4.0</v>
      </c>
      <c r="P641" s="224">
        <f t="shared" si="1"/>
        <v>0.217339097</v>
      </c>
      <c r="Q641" s="214" t="str">
        <f t="shared" si="2"/>
        <v>Medium</v>
      </c>
    </row>
    <row r="642" ht="15.75" customHeight="1">
      <c r="A642" s="214" t="s">
        <v>1110</v>
      </c>
      <c r="B642" s="216">
        <v>5389.0</v>
      </c>
      <c r="C642" s="216">
        <v>2196.0</v>
      </c>
      <c r="D642" s="217">
        <v>5.0</v>
      </c>
      <c r="E642" s="219" t="s">
        <v>216</v>
      </c>
      <c r="F642" s="219" t="s">
        <v>344</v>
      </c>
      <c r="G642" s="214" t="s">
        <v>392</v>
      </c>
      <c r="H642" s="221">
        <v>45264.0</v>
      </c>
      <c r="I642" s="219" t="s">
        <v>1111</v>
      </c>
      <c r="J642" s="219" t="s">
        <v>117</v>
      </c>
      <c r="K642" s="219" t="s">
        <v>496</v>
      </c>
      <c r="L642" s="214" t="s">
        <v>476</v>
      </c>
      <c r="M642" s="222">
        <v>2023.0</v>
      </c>
      <c r="N642" s="214" t="s">
        <v>400</v>
      </c>
      <c r="O642" s="223">
        <v>4.0</v>
      </c>
      <c r="P642" s="224">
        <f t="shared" si="1"/>
        <v>0.4074967526</v>
      </c>
      <c r="Q642" s="214" t="str">
        <f t="shared" si="2"/>
        <v>High</v>
      </c>
    </row>
    <row r="643" ht="15.75" customHeight="1">
      <c r="A643" s="214" t="s">
        <v>1112</v>
      </c>
      <c r="B643" s="216">
        <v>5448.0</v>
      </c>
      <c r="C643" s="216">
        <v>2204.0</v>
      </c>
      <c r="D643" s="217">
        <v>5.0</v>
      </c>
      <c r="E643" s="219" t="s">
        <v>216</v>
      </c>
      <c r="F643" s="219" t="s">
        <v>347</v>
      </c>
      <c r="G643" s="214" t="s">
        <v>405</v>
      </c>
      <c r="H643" s="221">
        <v>44782.0</v>
      </c>
      <c r="I643" s="219" t="s">
        <v>1113</v>
      </c>
      <c r="J643" s="219" t="s">
        <v>223</v>
      </c>
      <c r="K643" s="219" t="s">
        <v>428</v>
      </c>
      <c r="L643" s="214" t="s">
        <v>461</v>
      </c>
      <c r="M643" s="222">
        <v>2022.0</v>
      </c>
      <c r="N643" s="214" t="s">
        <v>523</v>
      </c>
      <c r="O643" s="223">
        <v>3.0</v>
      </c>
      <c r="P643" s="224">
        <f t="shared" si="1"/>
        <v>0.4045521292</v>
      </c>
      <c r="Q643" s="214" t="str">
        <f t="shared" si="2"/>
        <v>High</v>
      </c>
    </row>
    <row r="644" ht="15.75" customHeight="1">
      <c r="A644" s="214" t="s">
        <v>1114</v>
      </c>
      <c r="B644" s="216">
        <v>4115.0</v>
      </c>
      <c r="C644" s="216">
        <v>1285.0</v>
      </c>
      <c r="D644" s="217">
        <v>1.0</v>
      </c>
      <c r="E644" s="219" t="s">
        <v>216</v>
      </c>
      <c r="F644" s="219" t="s">
        <v>347</v>
      </c>
      <c r="G644" s="214" t="s">
        <v>392</v>
      </c>
      <c r="H644" s="221">
        <v>43929.0</v>
      </c>
      <c r="I644" s="219" t="s">
        <v>1115</v>
      </c>
      <c r="J644" s="219" t="s">
        <v>159</v>
      </c>
      <c r="K644" s="219" t="s">
        <v>409</v>
      </c>
      <c r="L644" s="214" t="s">
        <v>418</v>
      </c>
      <c r="M644" s="222">
        <v>2020.0</v>
      </c>
      <c r="N644" s="214" t="s">
        <v>542</v>
      </c>
      <c r="O644" s="223">
        <v>2.0</v>
      </c>
      <c r="P644" s="224">
        <f t="shared" si="1"/>
        <v>0.312272175</v>
      </c>
      <c r="Q644" s="214" t="str">
        <f t="shared" si="2"/>
        <v>Medium</v>
      </c>
    </row>
    <row r="645" ht="15.75" customHeight="1">
      <c r="A645" s="214" t="s">
        <v>1114</v>
      </c>
      <c r="B645" s="216">
        <v>4761.0</v>
      </c>
      <c r="C645" s="216">
        <v>2231.0</v>
      </c>
      <c r="D645" s="217">
        <v>12.0</v>
      </c>
      <c r="E645" s="219" t="s">
        <v>216</v>
      </c>
      <c r="F645" s="219" t="s">
        <v>344</v>
      </c>
      <c r="G645" s="214" t="s">
        <v>392</v>
      </c>
      <c r="H645" s="221">
        <v>43929.0</v>
      </c>
      <c r="I645" s="219" t="s">
        <v>1115</v>
      </c>
      <c r="J645" s="219" t="s">
        <v>159</v>
      </c>
      <c r="K645" s="219" t="s">
        <v>409</v>
      </c>
      <c r="L645" s="214" t="s">
        <v>418</v>
      </c>
      <c r="M645" s="222">
        <v>2020.0</v>
      </c>
      <c r="N645" s="214" t="s">
        <v>542</v>
      </c>
      <c r="O645" s="223">
        <v>2.0</v>
      </c>
      <c r="P645" s="224">
        <f t="shared" si="1"/>
        <v>0.4685990338</v>
      </c>
      <c r="Q645" s="214" t="str">
        <f t="shared" si="2"/>
        <v>Medium</v>
      </c>
    </row>
    <row r="646" ht="15.75" customHeight="1">
      <c r="A646" s="214" t="s">
        <v>1116</v>
      </c>
      <c r="B646" s="216">
        <v>5899.0</v>
      </c>
      <c r="C646" s="216">
        <v>2264.0</v>
      </c>
      <c r="D646" s="217">
        <v>6.0</v>
      </c>
      <c r="E646" s="219" t="s">
        <v>242</v>
      </c>
      <c r="F646" s="219" t="s">
        <v>362</v>
      </c>
      <c r="G646" s="214" t="s">
        <v>406</v>
      </c>
      <c r="H646" s="221">
        <v>45219.0</v>
      </c>
      <c r="I646" s="219" t="s">
        <v>1117</v>
      </c>
      <c r="J646" s="219" t="s">
        <v>223</v>
      </c>
      <c r="K646" s="219" t="s">
        <v>402</v>
      </c>
      <c r="L646" s="214" t="s">
        <v>475</v>
      </c>
      <c r="M646" s="222">
        <v>2023.0</v>
      </c>
      <c r="N646" s="214" t="s">
        <v>414</v>
      </c>
      <c r="O646" s="223">
        <v>4.0</v>
      </c>
      <c r="P646" s="224">
        <f t="shared" si="1"/>
        <v>0.3837938634</v>
      </c>
      <c r="Q646" s="214" t="str">
        <f t="shared" si="2"/>
        <v>High</v>
      </c>
    </row>
    <row r="647" ht="15.75" customHeight="1">
      <c r="A647" s="214" t="s">
        <v>1118</v>
      </c>
      <c r="B647" s="216">
        <v>6109.0</v>
      </c>
      <c r="C647" s="216">
        <v>3040.0</v>
      </c>
      <c r="D647" s="217">
        <v>9.0</v>
      </c>
      <c r="E647" s="219" t="s">
        <v>216</v>
      </c>
      <c r="F647" s="219" t="s">
        <v>359</v>
      </c>
      <c r="G647" s="214" t="s">
        <v>406</v>
      </c>
      <c r="H647" s="221">
        <v>44602.0</v>
      </c>
      <c r="I647" s="219" t="s">
        <v>1119</v>
      </c>
      <c r="J647" s="219" t="s">
        <v>223</v>
      </c>
      <c r="K647" s="219" t="s">
        <v>402</v>
      </c>
      <c r="L647" s="214" t="s">
        <v>454</v>
      </c>
      <c r="M647" s="222">
        <v>2022.0</v>
      </c>
      <c r="N647" s="214" t="s">
        <v>494</v>
      </c>
      <c r="O647" s="223">
        <v>1.0</v>
      </c>
      <c r="P647" s="224">
        <f t="shared" si="1"/>
        <v>0.4976264528</v>
      </c>
      <c r="Q647" s="214" t="str">
        <f t="shared" si="2"/>
        <v>High</v>
      </c>
    </row>
    <row r="648" ht="15.75" customHeight="1">
      <c r="A648" s="214" t="s">
        <v>1118</v>
      </c>
      <c r="B648" s="216">
        <v>6109.0</v>
      </c>
      <c r="C648" s="216">
        <v>3040.0</v>
      </c>
      <c r="D648" s="217">
        <v>9.0</v>
      </c>
      <c r="E648" s="219" t="s">
        <v>216</v>
      </c>
      <c r="F648" s="219" t="s">
        <v>359</v>
      </c>
      <c r="G648" s="214" t="s">
        <v>406</v>
      </c>
      <c r="H648" s="221">
        <v>45204.0</v>
      </c>
      <c r="I648" s="219" t="s">
        <v>1120</v>
      </c>
      <c r="J648" s="219" t="s">
        <v>223</v>
      </c>
      <c r="K648" s="219" t="s">
        <v>473</v>
      </c>
      <c r="L648" s="214" t="s">
        <v>475</v>
      </c>
      <c r="M648" s="222">
        <v>2023.0</v>
      </c>
      <c r="N648" s="214" t="s">
        <v>414</v>
      </c>
      <c r="O648" s="223">
        <v>4.0</v>
      </c>
      <c r="P648" s="224">
        <f t="shared" si="1"/>
        <v>0.4976264528</v>
      </c>
      <c r="Q648" s="214" t="str">
        <f t="shared" si="2"/>
        <v>High</v>
      </c>
    </row>
    <row r="649" ht="15.75" customHeight="1">
      <c r="A649" s="214" t="s">
        <v>1118</v>
      </c>
      <c r="B649" s="216">
        <v>4628.0</v>
      </c>
      <c r="C649" s="216">
        <v>1491.0</v>
      </c>
      <c r="D649" s="217">
        <v>17.0</v>
      </c>
      <c r="E649" s="219" t="s">
        <v>157</v>
      </c>
      <c r="F649" s="219" t="s">
        <v>355</v>
      </c>
      <c r="G649" s="214" t="s">
        <v>392</v>
      </c>
      <c r="H649" s="221">
        <v>44602.0</v>
      </c>
      <c r="I649" s="219" t="s">
        <v>1119</v>
      </c>
      <c r="J649" s="219" t="s">
        <v>223</v>
      </c>
      <c r="K649" s="219" t="s">
        <v>402</v>
      </c>
      <c r="L649" s="214" t="s">
        <v>454</v>
      </c>
      <c r="M649" s="222">
        <v>2022.0</v>
      </c>
      <c r="N649" s="214" t="s">
        <v>494</v>
      </c>
      <c r="O649" s="223">
        <v>1.0</v>
      </c>
      <c r="P649" s="224">
        <f t="shared" si="1"/>
        <v>0.3221694036</v>
      </c>
      <c r="Q649" s="214" t="str">
        <f t="shared" si="2"/>
        <v>Medium</v>
      </c>
    </row>
    <row r="650" ht="15.75" customHeight="1">
      <c r="A650" s="214" t="s">
        <v>1118</v>
      </c>
      <c r="B650" s="216">
        <v>4628.0</v>
      </c>
      <c r="C650" s="216">
        <v>1491.0</v>
      </c>
      <c r="D650" s="217">
        <v>17.0</v>
      </c>
      <c r="E650" s="219" t="s">
        <v>157</v>
      </c>
      <c r="F650" s="219" t="s">
        <v>355</v>
      </c>
      <c r="G650" s="214" t="s">
        <v>392</v>
      </c>
      <c r="H650" s="221">
        <v>45204.0</v>
      </c>
      <c r="I650" s="219" t="s">
        <v>1120</v>
      </c>
      <c r="J650" s="219" t="s">
        <v>223</v>
      </c>
      <c r="K650" s="219" t="s">
        <v>473</v>
      </c>
      <c r="L650" s="214" t="s">
        <v>475</v>
      </c>
      <c r="M650" s="222">
        <v>2023.0</v>
      </c>
      <c r="N650" s="214" t="s">
        <v>414</v>
      </c>
      <c r="O650" s="223">
        <v>4.0</v>
      </c>
      <c r="P650" s="224">
        <f t="shared" si="1"/>
        <v>0.3221694036</v>
      </c>
      <c r="Q650" s="214" t="str">
        <f t="shared" si="2"/>
        <v>Medium</v>
      </c>
    </row>
    <row r="651" ht="15.75" customHeight="1">
      <c r="A651" s="214" t="s">
        <v>1121</v>
      </c>
      <c r="B651" s="216">
        <v>4369.0</v>
      </c>
      <c r="C651" s="216">
        <v>584.0</v>
      </c>
      <c r="D651" s="217">
        <v>13.0</v>
      </c>
      <c r="E651" s="219" t="s">
        <v>242</v>
      </c>
      <c r="F651" s="219" t="s">
        <v>356</v>
      </c>
      <c r="G651" s="214" t="s">
        <v>350</v>
      </c>
      <c r="H651" s="221">
        <v>44826.0</v>
      </c>
      <c r="I651" s="219" t="s">
        <v>1122</v>
      </c>
      <c r="J651" s="219" t="s">
        <v>271</v>
      </c>
      <c r="K651" s="219" t="s">
        <v>568</v>
      </c>
      <c r="L651" s="214" t="s">
        <v>462</v>
      </c>
      <c r="M651" s="222">
        <v>2022.0</v>
      </c>
      <c r="N651" s="214" t="s">
        <v>536</v>
      </c>
      <c r="O651" s="223">
        <v>3.0</v>
      </c>
      <c r="P651" s="224">
        <f t="shared" si="1"/>
        <v>0.1336690318</v>
      </c>
      <c r="Q651" s="214" t="str">
        <f t="shared" si="2"/>
        <v>Medium</v>
      </c>
    </row>
    <row r="652" ht="15.75" customHeight="1">
      <c r="A652" s="214" t="s">
        <v>1121</v>
      </c>
      <c r="B652" s="216">
        <v>4369.0</v>
      </c>
      <c r="C652" s="216">
        <v>584.0</v>
      </c>
      <c r="D652" s="217">
        <v>13.0</v>
      </c>
      <c r="E652" s="219" t="s">
        <v>242</v>
      </c>
      <c r="F652" s="219" t="s">
        <v>356</v>
      </c>
      <c r="G652" s="214" t="s">
        <v>350</v>
      </c>
      <c r="H652" s="221">
        <v>44289.0</v>
      </c>
      <c r="I652" s="219" t="s">
        <v>1123</v>
      </c>
      <c r="J652" s="219" t="s">
        <v>241</v>
      </c>
      <c r="K652" s="219" t="s">
        <v>504</v>
      </c>
      <c r="L652" s="214" t="s">
        <v>442</v>
      </c>
      <c r="M652" s="222">
        <v>2021.0</v>
      </c>
      <c r="N652" s="214" t="s">
        <v>542</v>
      </c>
      <c r="O652" s="223">
        <v>2.0</v>
      </c>
      <c r="P652" s="224">
        <f t="shared" si="1"/>
        <v>0.1336690318</v>
      </c>
      <c r="Q652" s="214" t="str">
        <f t="shared" si="2"/>
        <v>Medium</v>
      </c>
    </row>
    <row r="653" ht="15.75" customHeight="1">
      <c r="A653" s="214" t="s">
        <v>1124</v>
      </c>
      <c r="B653" s="216">
        <v>5632.0</v>
      </c>
      <c r="C653" s="216">
        <v>2358.0</v>
      </c>
      <c r="D653" s="217">
        <v>20.0</v>
      </c>
      <c r="E653" s="219" t="s">
        <v>216</v>
      </c>
      <c r="F653" s="219" t="s">
        <v>347</v>
      </c>
      <c r="G653" s="214" t="s">
        <v>350</v>
      </c>
      <c r="H653" s="221">
        <v>44319.0</v>
      </c>
      <c r="I653" s="219" t="s">
        <v>1125</v>
      </c>
      <c r="J653" s="219" t="s">
        <v>117</v>
      </c>
      <c r="K653" s="219" t="s">
        <v>423</v>
      </c>
      <c r="L653" s="214" t="s">
        <v>443</v>
      </c>
      <c r="M653" s="222">
        <v>2021.0</v>
      </c>
      <c r="N653" s="214" t="s">
        <v>411</v>
      </c>
      <c r="O653" s="223">
        <v>2.0</v>
      </c>
      <c r="P653" s="224">
        <f t="shared" si="1"/>
        <v>0.4186789773</v>
      </c>
      <c r="Q653" s="214" t="str">
        <f t="shared" si="2"/>
        <v>High</v>
      </c>
    </row>
    <row r="654" ht="15.75" customHeight="1">
      <c r="A654" s="214" t="s">
        <v>1124</v>
      </c>
      <c r="B654" s="216">
        <v>5632.0</v>
      </c>
      <c r="C654" s="216">
        <v>2358.0</v>
      </c>
      <c r="D654" s="217">
        <v>20.0</v>
      </c>
      <c r="E654" s="219" t="s">
        <v>216</v>
      </c>
      <c r="F654" s="219" t="s">
        <v>347</v>
      </c>
      <c r="G654" s="214" t="s">
        <v>350</v>
      </c>
      <c r="H654" s="221">
        <v>45333.0</v>
      </c>
      <c r="I654" s="219" t="s">
        <v>1126</v>
      </c>
      <c r="J654" s="219" t="s">
        <v>159</v>
      </c>
      <c r="K654" s="219" t="s">
        <v>394</v>
      </c>
      <c r="L654" s="214" t="s">
        <v>478</v>
      </c>
      <c r="M654" s="222">
        <v>2024.0</v>
      </c>
      <c r="N654" s="214" t="s">
        <v>494</v>
      </c>
      <c r="O654" s="223">
        <v>1.0</v>
      </c>
      <c r="P654" s="224">
        <f t="shared" si="1"/>
        <v>0.4186789773</v>
      </c>
      <c r="Q654" s="214" t="str">
        <f t="shared" si="2"/>
        <v>High</v>
      </c>
    </row>
    <row r="655" ht="15.75" customHeight="1">
      <c r="A655" s="214" t="s">
        <v>1124</v>
      </c>
      <c r="B655" s="216">
        <v>5632.0</v>
      </c>
      <c r="C655" s="216">
        <v>2358.0</v>
      </c>
      <c r="D655" s="217">
        <v>20.0</v>
      </c>
      <c r="E655" s="219" t="s">
        <v>216</v>
      </c>
      <c r="F655" s="219" t="s">
        <v>347</v>
      </c>
      <c r="G655" s="214" t="s">
        <v>350</v>
      </c>
      <c r="H655" s="221">
        <v>45692.0</v>
      </c>
      <c r="I655" s="219" t="s">
        <v>1127</v>
      </c>
      <c r="J655" s="219" t="s">
        <v>313</v>
      </c>
      <c r="K655" s="219" t="s">
        <v>526</v>
      </c>
      <c r="L655" s="214" t="s">
        <v>488</v>
      </c>
      <c r="M655" s="222">
        <v>2025.0</v>
      </c>
      <c r="N655" s="214" t="s">
        <v>494</v>
      </c>
      <c r="O655" s="223">
        <v>1.0</v>
      </c>
      <c r="P655" s="224">
        <f t="shared" si="1"/>
        <v>0.4186789773</v>
      </c>
      <c r="Q655" s="214" t="str">
        <f t="shared" si="2"/>
        <v>High</v>
      </c>
    </row>
    <row r="656" ht="15.75" customHeight="1">
      <c r="A656" s="214" t="s">
        <v>1128</v>
      </c>
      <c r="B656" s="216">
        <v>7519.0</v>
      </c>
      <c r="C656" s="216">
        <v>402.0</v>
      </c>
      <c r="D656" s="217">
        <v>14.0</v>
      </c>
      <c r="E656" s="219" t="s">
        <v>242</v>
      </c>
      <c r="F656" s="219" t="s">
        <v>357</v>
      </c>
      <c r="G656" s="214" t="s">
        <v>392</v>
      </c>
      <c r="H656" s="221">
        <v>44846.0</v>
      </c>
      <c r="I656" s="219" t="s">
        <v>1129</v>
      </c>
      <c r="J656" s="219" t="s">
        <v>117</v>
      </c>
      <c r="K656" s="219" t="s">
        <v>496</v>
      </c>
      <c r="L656" s="214" t="s">
        <v>463</v>
      </c>
      <c r="M656" s="222">
        <v>2022.0</v>
      </c>
      <c r="N656" s="214" t="s">
        <v>414</v>
      </c>
      <c r="O656" s="223">
        <v>4.0</v>
      </c>
      <c r="P656" s="224">
        <f t="shared" si="1"/>
        <v>0.05346455646</v>
      </c>
      <c r="Q656" s="214" t="str">
        <f t="shared" si="2"/>
        <v>High</v>
      </c>
    </row>
    <row r="657" ht="15.75" customHeight="1">
      <c r="A657" s="214" t="s">
        <v>1128</v>
      </c>
      <c r="B657" s="216">
        <v>1564.0</v>
      </c>
      <c r="C657" s="216">
        <v>674.0</v>
      </c>
      <c r="D657" s="217">
        <v>13.0</v>
      </c>
      <c r="E657" s="219" t="s">
        <v>157</v>
      </c>
      <c r="F657" s="219" t="s">
        <v>355</v>
      </c>
      <c r="G657" s="214" t="s">
        <v>351</v>
      </c>
      <c r="H657" s="221">
        <v>44846.0</v>
      </c>
      <c r="I657" s="219" t="s">
        <v>1129</v>
      </c>
      <c r="J657" s="219" t="s">
        <v>117</v>
      </c>
      <c r="K657" s="219" t="s">
        <v>496</v>
      </c>
      <c r="L657" s="214" t="s">
        <v>463</v>
      </c>
      <c r="M657" s="222">
        <v>2022.0</v>
      </c>
      <c r="N657" s="214" t="s">
        <v>414</v>
      </c>
      <c r="O657" s="223">
        <v>4.0</v>
      </c>
      <c r="P657" s="224">
        <f t="shared" si="1"/>
        <v>0.4309462916</v>
      </c>
      <c r="Q657" s="214" t="str">
        <f t="shared" si="2"/>
        <v>Medium</v>
      </c>
    </row>
    <row r="658" ht="15.75" customHeight="1">
      <c r="A658" s="214" t="s">
        <v>1130</v>
      </c>
      <c r="B658" s="216">
        <v>2804.0</v>
      </c>
      <c r="C658" s="216">
        <v>936.0</v>
      </c>
      <c r="D658" s="217">
        <v>10.0</v>
      </c>
      <c r="E658" s="219" t="s">
        <v>157</v>
      </c>
      <c r="F658" s="219" t="s">
        <v>355</v>
      </c>
      <c r="G658" s="214" t="s">
        <v>350</v>
      </c>
      <c r="H658" s="221">
        <v>44598.0</v>
      </c>
      <c r="I658" s="219" t="s">
        <v>1131</v>
      </c>
      <c r="J658" s="219" t="s">
        <v>241</v>
      </c>
      <c r="K658" s="219" t="s">
        <v>504</v>
      </c>
      <c r="L658" s="214" t="s">
        <v>454</v>
      </c>
      <c r="M658" s="222">
        <v>2022.0</v>
      </c>
      <c r="N658" s="214" t="s">
        <v>494</v>
      </c>
      <c r="O658" s="223">
        <v>1.0</v>
      </c>
      <c r="P658" s="224">
        <f t="shared" si="1"/>
        <v>0.3338088445</v>
      </c>
      <c r="Q658" s="214" t="str">
        <f t="shared" si="2"/>
        <v>Medium</v>
      </c>
    </row>
    <row r="659" ht="15.75" customHeight="1">
      <c r="A659" s="214" t="s">
        <v>1130</v>
      </c>
      <c r="B659" s="216">
        <v>2804.0</v>
      </c>
      <c r="C659" s="216">
        <v>936.0</v>
      </c>
      <c r="D659" s="217">
        <v>10.0</v>
      </c>
      <c r="E659" s="219" t="s">
        <v>157</v>
      </c>
      <c r="F659" s="219" t="s">
        <v>355</v>
      </c>
      <c r="G659" s="214" t="s">
        <v>350</v>
      </c>
      <c r="H659" s="221">
        <v>44144.0</v>
      </c>
      <c r="I659" s="219" t="s">
        <v>1132</v>
      </c>
      <c r="J659" s="219" t="s">
        <v>159</v>
      </c>
      <c r="K659" s="219" t="s">
        <v>552</v>
      </c>
      <c r="L659" s="214" t="s">
        <v>436</v>
      </c>
      <c r="M659" s="222">
        <v>2020.0</v>
      </c>
      <c r="N659" s="214" t="s">
        <v>425</v>
      </c>
      <c r="O659" s="223">
        <v>4.0</v>
      </c>
      <c r="P659" s="224">
        <f t="shared" si="1"/>
        <v>0.3338088445</v>
      </c>
      <c r="Q659" s="214" t="str">
        <f t="shared" si="2"/>
        <v>Medium</v>
      </c>
    </row>
    <row r="660" ht="15.75" customHeight="1">
      <c r="A660" s="214" t="s">
        <v>1130</v>
      </c>
      <c r="B660" s="216">
        <v>2804.0</v>
      </c>
      <c r="C660" s="216">
        <v>936.0</v>
      </c>
      <c r="D660" s="217">
        <v>10.0</v>
      </c>
      <c r="E660" s="219" t="s">
        <v>157</v>
      </c>
      <c r="F660" s="219" t="s">
        <v>355</v>
      </c>
      <c r="G660" s="214" t="s">
        <v>350</v>
      </c>
      <c r="H660" s="221">
        <v>45049.0</v>
      </c>
      <c r="I660" s="219" t="s">
        <v>1133</v>
      </c>
      <c r="J660" s="219" t="s">
        <v>159</v>
      </c>
      <c r="K660" s="219" t="s">
        <v>552</v>
      </c>
      <c r="L660" s="214" t="s">
        <v>469</v>
      </c>
      <c r="M660" s="222">
        <v>2023.0</v>
      </c>
      <c r="N660" s="214" t="s">
        <v>411</v>
      </c>
      <c r="O660" s="223">
        <v>2.0</v>
      </c>
      <c r="P660" s="224">
        <f t="shared" si="1"/>
        <v>0.3338088445</v>
      </c>
      <c r="Q660" s="214" t="str">
        <f t="shared" si="2"/>
        <v>Medium</v>
      </c>
    </row>
    <row r="661" ht="15.75" customHeight="1">
      <c r="A661" s="214" t="s">
        <v>1134</v>
      </c>
      <c r="B661" s="216">
        <v>2321.0</v>
      </c>
      <c r="C661" s="216">
        <v>505.0</v>
      </c>
      <c r="D661" s="217">
        <v>6.0</v>
      </c>
      <c r="E661" s="219" t="s">
        <v>216</v>
      </c>
      <c r="F661" s="219" t="s">
        <v>359</v>
      </c>
      <c r="G661" s="214" t="s">
        <v>406</v>
      </c>
      <c r="H661" s="221">
        <v>44838.0</v>
      </c>
      <c r="I661" s="219" t="s">
        <v>1135</v>
      </c>
      <c r="J661" s="219" t="s">
        <v>271</v>
      </c>
      <c r="K661" s="219" t="s">
        <v>449</v>
      </c>
      <c r="L661" s="214" t="s">
        <v>463</v>
      </c>
      <c r="M661" s="222">
        <v>2022.0</v>
      </c>
      <c r="N661" s="214" t="s">
        <v>414</v>
      </c>
      <c r="O661" s="223">
        <v>4.0</v>
      </c>
      <c r="P661" s="224">
        <f t="shared" si="1"/>
        <v>0.2175786299</v>
      </c>
      <c r="Q661" s="214" t="str">
        <f t="shared" si="2"/>
        <v>Medium</v>
      </c>
    </row>
    <row r="662" ht="15.75" customHeight="1">
      <c r="A662" s="214" t="s">
        <v>1136</v>
      </c>
      <c r="B662" s="216">
        <v>5730.0</v>
      </c>
      <c r="C662" s="216">
        <v>482.0</v>
      </c>
      <c r="D662" s="217">
        <v>6.0</v>
      </c>
      <c r="E662" s="219" t="s">
        <v>157</v>
      </c>
      <c r="F662" s="219" t="s">
        <v>360</v>
      </c>
      <c r="G662" s="214" t="s">
        <v>405</v>
      </c>
      <c r="H662" s="221">
        <v>45525.0</v>
      </c>
      <c r="I662" s="219" t="s">
        <v>1137</v>
      </c>
      <c r="J662" s="219" t="s">
        <v>159</v>
      </c>
      <c r="K662" s="219" t="s">
        <v>552</v>
      </c>
      <c r="L662" s="214" t="s">
        <v>483</v>
      </c>
      <c r="M662" s="222">
        <v>2024.0</v>
      </c>
      <c r="N662" s="214" t="s">
        <v>523</v>
      </c>
      <c r="O662" s="223">
        <v>3.0</v>
      </c>
      <c r="P662" s="224">
        <f t="shared" si="1"/>
        <v>0.08411867365</v>
      </c>
      <c r="Q662" s="214" t="str">
        <f t="shared" si="2"/>
        <v>High</v>
      </c>
    </row>
    <row r="663" ht="15.75" customHeight="1">
      <c r="A663" s="214" t="s">
        <v>1138</v>
      </c>
      <c r="B663" s="216">
        <v>7441.0</v>
      </c>
      <c r="C663" s="216">
        <v>867.0</v>
      </c>
      <c r="D663" s="217">
        <v>12.0</v>
      </c>
      <c r="E663" s="219" t="s">
        <v>216</v>
      </c>
      <c r="F663" s="219" t="s">
        <v>347</v>
      </c>
      <c r="G663" s="214" t="s">
        <v>405</v>
      </c>
      <c r="H663" s="221">
        <v>44520.0</v>
      </c>
      <c r="I663" s="219" t="s">
        <v>1139</v>
      </c>
      <c r="J663" s="219" t="s">
        <v>271</v>
      </c>
      <c r="K663" s="219" t="s">
        <v>398</v>
      </c>
      <c r="L663" s="214" t="s">
        <v>451</v>
      </c>
      <c r="M663" s="222">
        <v>2021.0</v>
      </c>
      <c r="N663" s="214" t="s">
        <v>425</v>
      </c>
      <c r="O663" s="223">
        <v>4.0</v>
      </c>
      <c r="P663" s="224">
        <f t="shared" si="1"/>
        <v>0.1165165972</v>
      </c>
      <c r="Q663" s="214" t="str">
        <f t="shared" si="2"/>
        <v>High</v>
      </c>
    </row>
    <row r="664" ht="15.75" customHeight="1">
      <c r="A664" s="214" t="s">
        <v>1138</v>
      </c>
      <c r="B664" s="216">
        <v>7441.0</v>
      </c>
      <c r="C664" s="216">
        <v>867.0</v>
      </c>
      <c r="D664" s="217">
        <v>12.0</v>
      </c>
      <c r="E664" s="219" t="s">
        <v>216</v>
      </c>
      <c r="F664" s="219" t="s">
        <v>347</v>
      </c>
      <c r="G664" s="214" t="s">
        <v>405</v>
      </c>
      <c r="H664" s="221">
        <v>43964.0</v>
      </c>
      <c r="I664" s="219" t="s">
        <v>1140</v>
      </c>
      <c r="J664" s="219" t="s">
        <v>241</v>
      </c>
      <c r="K664" s="219" t="s">
        <v>504</v>
      </c>
      <c r="L664" s="214" t="s">
        <v>419</v>
      </c>
      <c r="M664" s="222">
        <v>2020.0</v>
      </c>
      <c r="N664" s="214" t="s">
        <v>411</v>
      </c>
      <c r="O664" s="223">
        <v>2.0</v>
      </c>
      <c r="P664" s="224">
        <f t="shared" si="1"/>
        <v>0.1165165972</v>
      </c>
      <c r="Q664" s="214" t="str">
        <f t="shared" si="2"/>
        <v>High</v>
      </c>
    </row>
    <row r="665" ht="15.75" customHeight="1">
      <c r="A665" s="214" t="s">
        <v>1141</v>
      </c>
      <c r="B665" s="216">
        <v>1732.0</v>
      </c>
      <c r="C665" s="216">
        <v>766.0</v>
      </c>
      <c r="D665" s="217">
        <v>7.0</v>
      </c>
      <c r="E665" s="219" t="s">
        <v>242</v>
      </c>
      <c r="F665" s="219" t="s">
        <v>362</v>
      </c>
      <c r="G665" s="214" t="s">
        <v>392</v>
      </c>
      <c r="H665" s="221">
        <v>44985.0</v>
      </c>
      <c r="I665" s="219" t="s">
        <v>1142</v>
      </c>
      <c r="J665" s="219" t="s">
        <v>223</v>
      </c>
      <c r="K665" s="219" t="s">
        <v>428</v>
      </c>
      <c r="L665" s="214" t="s">
        <v>466</v>
      </c>
      <c r="M665" s="222">
        <v>2023.0</v>
      </c>
      <c r="N665" s="214" t="s">
        <v>494</v>
      </c>
      <c r="O665" s="223">
        <v>1.0</v>
      </c>
      <c r="P665" s="224">
        <f t="shared" si="1"/>
        <v>0.4422632794</v>
      </c>
      <c r="Q665" s="214" t="str">
        <f t="shared" si="2"/>
        <v>Medium</v>
      </c>
    </row>
    <row r="666" ht="15.75" customHeight="1">
      <c r="A666" s="214" t="s">
        <v>1141</v>
      </c>
      <c r="B666" s="216">
        <v>8788.0</v>
      </c>
      <c r="C666" s="216">
        <v>3944.0</v>
      </c>
      <c r="D666" s="217">
        <v>19.0</v>
      </c>
      <c r="E666" s="219" t="s">
        <v>242</v>
      </c>
      <c r="F666" s="219" t="s">
        <v>357</v>
      </c>
      <c r="G666" s="214" t="s">
        <v>406</v>
      </c>
      <c r="H666" s="221">
        <v>44985.0</v>
      </c>
      <c r="I666" s="219" t="s">
        <v>1142</v>
      </c>
      <c r="J666" s="219" t="s">
        <v>223</v>
      </c>
      <c r="K666" s="219" t="s">
        <v>428</v>
      </c>
      <c r="L666" s="214" t="s">
        <v>466</v>
      </c>
      <c r="M666" s="222">
        <v>2023.0</v>
      </c>
      <c r="N666" s="214" t="s">
        <v>494</v>
      </c>
      <c r="O666" s="223">
        <v>1.0</v>
      </c>
      <c r="P666" s="224">
        <f t="shared" si="1"/>
        <v>0.4487938097</v>
      </c>
      <c r="Q666" s="214" t="str">
        <f t="shared" si="2"/>
        <v>High</v>
      </c>
    </row>
    <row r="667" ht="15.75" customHeight="1">
      <c r="A667" s="214" t="s">
        <v>1143</v>
      </c>
      <c r="B667" s="216">
        <v>838.0</v>
      </c>
      <c r="C667" s="216">
        <v>271.0</v>
      </c>
      <c r="D667" s="217">
        <v>11.0</v>
      </c>
      <c r="E667" s="219" t="s">
        <v>242</v>
      </c>
      <c r="F667" s="219" t="s">
        <v>317</v>
      </c>
      <c r="G667" s="214" t="s">
        <v>406</v>
      </c>
      <c r="H667" s="221">
        <v>44217.0</v>
      </c>
      <c r="I667" s="219" t="s">
        <v>1144</v>
      </c>
      <c r="J667" s="219" t="s">
        <v>313</v>
      </c>
      <c r="K667" s="219" t="s">
        <v>512</v>
      </c>
      <c r="L667" s="214" t="s">
        <v>438</v>
      </c>
      <c r="M667" s="222">
        <v>2021.0</v>
      </c>
      <c r="N667" s="214" t="s">
        <v>497</v>
      </c>
      <c r="O667" s="223">
        <v>1.0</v>
      </c>
      <c r="P667" s="224">
        <f t="shared" si="1"/>
        <v>0.3233890215</v>
      </c>
      <c r="Q667" s="214" t="str">
        <f t="shared" si="2"/>
        <v>Medium</v>
      </c>
    </row>
    <row r="668" ht="15.75" customHeight="1">
      <c r="A668" s="214" t="s">
        <v>1143</v>
      </c>
      <c r="B668" s="216">
        <v>838.0</v>
      </c>
      <c r="C668" s="216">
        <v>271.0</v>
      </c>
      <c r="D668" s="217">
        <v>11.0</v>
      </c>
      <c r="E668" s="219" t="s">
        <v>242</v>
      </c>
      <c r="F668" s="219" t="s">
        <v>317</v>
      </c>
      <c r="G668" s="214" t="s">
        <v>406</v>
      </c>
      <c r="H668" s="221">
        <v>44620.0</v>
      </c>
      <c r="I668" s="219" t="s">
        <v>1145</v>
      </c>
      <c r="J668" s="219" t="s">
        <v>271</v>
      </c>
      <c r="K668" s="219" t="s">
        <v>568</v>
      </c>
      <c r="L668" s="214" t="s">
        <v>454</v>
      </c>
      <c r="M668" s="222">
        <v>2022.0</v>
      </c>
      <c r="N668" s="214" t="s">
        <v>494</v>
      </c>
      <c r="O668" s="223">
        <v>1.0</v>
      </c>
      <c r="P668" s="224">
        <f t="shared" si="1"/>
        <v>0.3233890215</v>
      </c>
      <c r="Q668" s="214" t="str">
        <f t="shared" si="2"/>
        <v>Medium</v>
      </c>
    </row>
    <row r="669" ht="15.75" customHeight="1">
      <c r="A669" s="214" t="s">
        <v>1143</v>
      </c>
      <c r="B669" s="216">
        <v>3577.0</v>
      </c>
      <c r="C669" s="216">
        <v>699.0</v>
      </c>
      <c r="D669" s="217">
        <v>2.0</v>
      </c>
      <c r="E669" s="219" t="s">
        <v>216</v>
      </c>
      <c r="F669" s="219" t="s">
        <v>344</v>
      </c>
      <c r="G669" s="214" t="s">
        <v>392</v>
      </c>
      <c r="H669" s="221">
        <v>44217.0</v>
      </c>
      <c r="I669" s="219" t="s">
        <v>1144</v>
      </c>
      <c r="J669" s="219" t="s">
        <v>313</v>
      </c>
      <c r="K669" s="219" t="s">
        <v>512</v>
      </c>
      <c r="L669" s="214" t="s">
        <v>438</v>
      </c>
      <c r="M669" s="222">
        <v>2021.0</v>
      </c>
      <c r="N669" s="214" t="s">
        <v>497</v>
      </c>
      <c r="O669" s="223">
        <v>1.0</v>
      </c>
      <c r="P669" s="224">
        <f t="shared" si="1"/>
        <v>0.1954151524</v>
      </c>
      <c r="Q669" s="214" t="str">
        <f t="shared" si="2"/>
        <v>Medium</v>
      </c>
    </row>
    <row r="670" ht="15.75" customHeight="1">
      <c r="A670" s="214" t="s">
        <v>1143</v>
      </c>
      <c r="B670" s="216">
        <v>3577.0</v>
      </c>
      <c r="C670" s="216">
        <v>699.0</v>
      </c>
      <c r="D670" s="217">
        <v>2.0</v>
      </c>
      <c r="E670" s="219" t="s">
        <v>216</v>
      </c>
      <c r="F670" s="219" t="s">
        <v>344</v>
      </c>
      <c r="G670" s="214" t="s">
        <v>392</v>
      </c>
      <c r="H670" s="221">
        <v>44620.0</v>
      </c>
      <c r="I670" s="219" t="s">
        <v>1145</v>
      </c>
      <c r="J670" s="219" t="s">
        <v>271</v>
      </c>
      <c r="K670" s="219" t="s">
        <v>568</v>
      </c>
      <c r="L670" s="214" t="s">
        <v>454</v>
      </c>
      <c r="M670" s="222">
        <v>2022.0</v>
      </c>
      <c r="N670" s="214" t="s">
        <v>494</v>
      </c>
      <c r="O670" s="223">
        <v>1.0</v>
      </c>
      <c r="P670" s="224">
        <f t="shared" si="1"/>
        <v>0.1954151524</v>
      </c>
      <c r="Q670" s="214" t="str">
        <f t="shared" si="2"/>
        <v>Medium</v>
      </c>
    </row>
    <row r="671" ht="15.75" customHeight="1">
      <c r="A671" s="214" t="s">
        <v>1146</v>
      </c>
      <c r="B671" s="216">
        <v>7122.0</v>
      </c>
      <c r="C671" s="216">
        <v>1836.0</v>
      </c>
      <c r="D671" s="217">
        <v>6.0</v>
      </c>
      <c r="E671" s="219" t="s">
        <v>157</v>
      </c>
      <c r="F671" s="219" t="s">
        <v>358</v>
      </c>
      <c r="G671" s="214" t="s">
        <v>351</v>
      </c>
      <c r="H671" s="221">
        <v>45407.0</v>
      </c>
      <c r="I671" s="219" t="s">
        <v>1147</v>
      </c>
      <c r="J671" s="219" t="s">
        <v>241</v>
      </c>
      <c r="K671" s="219" t="s">
        <v>493</v>
      </c>
      <c r="L671" s="214" t="s">
        <v>480</v>
      </c>
      <c r="M671" s="222">
        <v>2024.0</v>
      </c>
      <c r="N671" s="214" t="s">
        <v>542</v>
      </c>
      <c r="O671" s="223">
        <v>2.0</v>
      </c>
      <c r="P671" s="224">
        <f t="shared" si="1"/>
        <v>0.2577927548</v>
      </c>
      <c r="Q671" s="214" t="str">
        <f t="shared" si="2"/>
        <v>High</v>
      </c>
    </row>
    <row r="672" ht="15.75" customHeight="1">
      <c r="A672" s="214" t="s">
        <v>1146</v>
      </c>
      <c r="B672" s="216">
        <v>7122.0</v>
      </c>
      <c r="C672" s="216">
        <v>1836.0</v>
      </c>
      <c r="D672" s="217">
        <v>6.0</v>
      </c>
      <c r="E672" s="219" t="s">
        <v>157</v>
      </c>
      <c r="F672" s="219" t="s">
        <v>358</v>
      </c>
      <c r="G672" s="214" t="s">
        <v>351</v>
      </c>
      <c r="H672" s="221">
        <v>44995.0</v>
      </c>
      <c r="I672" s="219" t="s">
        <v>1148</v>
      </c>
      <c r="J672" s="219" t="s">
        <v>241</v>
      </c>
      <c r="K672" s="219" t="s">
        <v>541</v>
      </c>
      <c r="L672" s="214" t="s">
        <v>467</v>
      </c>
      <c r="M672" s="222">
        <v>2023.0</v>
      </c>
      <c r="N672" s="214" t="s">
        <v>433</v>
      </c>
      <c r="O672" s="223">
        <v>1.0</v>
      </c>
      <c r="P672" s="224">
        <f t="shared" si="1"/>
        <v>0.2577927548</v>
      </c>
      <c r="Q672" s="214" t="str">
        <f t="shared" si="2"/>
        <v>High</v>
      </c>
    </row>
    <row r="673" ht="15.75" customHeight="1">
      <c r="A673" s="214" t="s">
        <v>1146</v>
      </c>
      <c r="B673" s="216">
        <v>7122.0</v>
      </c>
      <c r="C673" s="216">
        <v>1836.0</v>
      </c>
      <c r="D673" s="217">
        <v>6.0</v>
      </c>
      <c r="E673" s="219" t="s">
        <v>157</v>
      </c>
      <c r="F673" s="219" t="s">
        <v>358</v>
      </c>
      <c r="G673" s="214" t="s">
        <v>351</v>
      </c>
      <c r="H673" s="221">
        <v>45117.0</v>
      </c>
      <c r="I673" s="219" t="s">
        <v>1149</v>
      </c>
      <c r="J673" s="219" t="s">
        <v>223</v>
      </c>
      <c r="K673" s="219" t="s">
        <v>428</v>
      </c>
      <c r="L673" s="214" t="s">
        <v>471</v>
      </c>
      <c r="M673" s="222">
        <v>2023.0</v>
      </c>
      <c r="N673" s="214" t="s">
        <v>404</v>
      </c>
      <c r="O673" s="223">
        <v>3.0</v>
      </c>
      <c r="P673" s="224">
        <f t="shared" si="1"/>
        <v>0.2577927548</v>
      </c>
      <c r="Q673" s="214" t="str">
        <f t="shared" si="2"/>
        <v>High</v>
      </c>
    </row>
    <row r="674" ht="15.75" customHeight="1">
      <c r="A674" s="214" t="s">
        <v>1146</v>
      </c>
      <c r="B674" s="216">
        <v>7327.0</v>
      </c>
      <c r="C674" s="216">
        <v>2596.0</v>
      </c>
      <c r="D674" s="217">
        <v>15.0</v>
      </c>
      <c r="E674" s="219" t="s">
        <v>242</v>
      </c>
      <c r="F674" s="219" t="s">
        <v>317</v>
      </c>
      <c r="G674" s="214" t="s">
        <v>350</v>
      </c>
      <c r="H674" s="221">
        <v>45407.0</v>
      </c>
      <c r="I674" s="219" t="s">
        <v>1147</v>
      </c>
      <c r="J674" s="219" t="s">
        <v>241</v>
      </c>
      <c r="K674" s="219" t="s">
        <v>493</v>
      </c>
      <c r="L674" s="214" t="s">
        <v>480</v>
      </c>
      <c r="M674" s="222">
        <v>2024.0</v>
      </c>
      <c r="N674" s="214" t="s">
        <v>542</v>
      </c>
      <c r="O674" s="223">
        <v>2.0</v>
      </c>
      <c r="P674" s="224">
        <f t="shared" si="1"/>
        <v>0.3543059915</v>
      </c>
      <c r="Q674" s="214" t="str">
        <f t="shared" si="2"/>
        <v>High</v>
      </c>
    </row>
    <row r="675" ht="15.75" customHeight="1">
      <c r="A675" s="214" t="s">
        <v>1146</v>
      </c>
      <c r="B675" s="216">
        <v>7327.0</v>
      </c>
      <c r="C675" s="216">
        <v>2596.0</v>
      </c>
      <c r="D675" s="217">
        <v>15.0</v>
      </c>
      <c r="E675" s="219" t="s">
        <v>242</v>
      </c>
      <c r="F675" s="219" t="s">
        <v>317</v>
      </c>
      <c r="G675" s="214" t="s">
        <v>350</v>
      </c>
      <c r="H675" s="221">
        <v>44995.0</v>
      </c>
      <c r="I675" s="219" t="s">
        <v>1148</v>
      </c>
      <c r="J675" s="219" t="s">
        <v>241</v>
      </c>
      <c r="K675" s="219" t="s">
        <v>541</v>
      </c>
      <c r="L675" s="214" t="s">
        <v>467</v>
      </c>
      <c r="M675" s="222">
        <v>2023.0</v>
      </c>
      <c r="N675" s="214" t="s">
        <v>433</v>
      </c>
      <c r="O675" s="223">
        <v>1.0</v>
      </c>
      <c r="P675" s="224">
        <f t="shared" si="1"/>
        <v>0.3543059915</v>
      </c>
      <c r="Q675" s="214" t="str">
        <f t="shared" si="2"/>
        <v>High</v>
      </c>
    </row>
    <row r="676" ht="15.75" customHeight="1">
      <c r="A676" s="214" t="s">
        <v>1146</v>
      </c>
      <c r="B676" s="216">
        <v>7327.0</v>
      </c>
      <c r="C676" s="216">
        <v>2596.0</v>
      </c>
      <c r="D676" s="217">
        <v>15.0</v>
      </c>
      <c r="E676" s="219" t="s">
        <v>242</v>
      </c>
      <c r="F676" s="219" t="s">
        <v>317</v>
      </c>
      <c r="G676" s="214" t="s">
        <v>350</v>
      </c>
      <c r="H676" s="221">
        <v>45117.0</v>
      </c>
      <c r="I676" s="219" t="s">
        <v>1149</v>
      </c>
      <c r="J676" s="219" t="s">
        <v>223</v>
      </c>
      <c r="K676" s="219" t="s">
        <v>428</v>
      </c>
      <c r="L676" s="214" t="s">
        <v>471</v>
      </c>
      <c r="M676" s="222">
        <v>2023.0</v>
      </c>
      <c r="N676" s="214" t="s">
        <v>404</v>
      </c>
      <c r="O676" s="223">
        <v>3.0</v>
      </c>
      <c r="P676" s="224">
        <f t="shared" si="1"/>
        <v>0.3543059915</v>
      </c>
      <c r="Q676" s="214" t="str">
        <f t="shared" si="2"/>
        <v>High</v>
      </c>
    </row>
    <row r="677" ht="15.75" customHeight="1">
      <c r="A677" s="214" t="s">
        <v>1150</v>
      </c>
      <c r="B677" s="216">
        <v>2239.0</v>
      </c>
      <c r="C677" s="216">
        <v>1094.0</v>
      </c>
      <c r="D677" s="217">
        <v>18.0</v>
      </c>
      <c r="E677" s="219" t="s">
        <v>157</v>
      </c>
      <c r="F677" s="219" t="s">
        <v>354</v>
      </c>
      <c r="G677" s="214" t="s">
        <v>405</v>
      </c>
      <c r="H677" s="221">
        <v>45501.0</v>
      </c>
      <c r="I677" s="219" t="s">
        <v>1151</v>
      </c>
      <c r="J677" s="219" t="s">
        <v>159</v>
      </c>
      <c r="K677" s="219" t="s">
        <v>552</v>
      </c>
      <c r="L677" s="214" t="s">
        <v>482</v>
      </c>
      <c r="M677" s="222">
        <v>2024.0</v>
      </c>
      <c r="N677" s="214" t="s">
        <v>404</v>
      </c>
      <c r="O677" s="223">
        <v>3.0</v>
      </c>
      <c r="P677" s="224">
        <f t="shared" si="1"/>
        <v>0.488610987</v>
      </c>
      <c r="Q677" s="214" t="str">
        <f t="shared" si="2"/>
        <v>Medium</v>
      </c>
    </row>
    <row r="678" ht="15.75" customHeight="1">
      <c r="A678" s="214" t="s">
        <v>1150</v>
      </c>
      <c r="B678" s="216">
        <v>4932.0</v>
      </c>
      <c r="C678" s="216">
        <v>1153.0</v>
      </c>
      <c r="D678" s="217">
        <v>1.0</v>
      </c>
      <c r="E678" s="219" t="s">
        <v>242</v>
      </c>
      <c r="F678" s="219" t="s">
        <v>317</v>
      </c>
      <c r="G678" s="214" t="s">
        <v>405</v>
      </c>
      <c r="H678" s="221">
        <v>45501.0</v>
      </c>
      <c r="I678" s="219" t="s">
        <v>1151</v>
      </c>
      <c r="J678" s="219" t="s">
        <v>159</v>
      </c>
      <c r="K678" s="219" t="s">
        <v>552</v>
      </c>
      <c r="L678" s="214" t="s">
        <v>482</v>
      </c>
      <c r="M678" s="222">
        <v>2024.0</v>
      </c>
      <c r="N678" s="214" t="s">
        <v>404</v>
      </c>
      <c r="O678" s="223">
        <v>3.0</v>
      </c>
      <c r="P678" s="224">
        <f t="shared" si="1"/>
        <v>0.2337793998</v>
      </c>
      <c r="Q678" s="214" t="str">
        <f t="shared" si="2"/>
        <v>Medium</v>
      </c>
    </row>
    <row r="679" ht="15.75" customHeight="1">
      <c r="A679" s="214" t="s">
        <v>1152</v>
      </c>
      <c r="B679" s="216">
        <v>4609.0</v>
      </c>
      <c r="C679" s="216">
        <v>1084.0</v>
      </c>
      <c r="D679" s="217">
        <v>8.0</v>
      </c>
      <c r="E679" s="219" t="s">
        <v>157</v>
      </c>
      <c r="F679" s="219" t="s">
        <v>354</v>
      </c>
      <c r="G679" s="214" t="s">
        <v>392</v>
      </c>
      <c r="H679" s="221">
        <v>45137.0</v>
      </c>
      <c r="I679" s="219" t="s">
        <v>1153</v>
      </c>
      <c r="J679" s="219" t="s">
        <v>159</v>
      </c>
      <c r="K679" s="219" t="s">
        <v>409</v>
      </c>
      <c r="L679" s="214" t="s">
        <v>471</v>
      </c>
      <c r="M679" s="222">
        <v>2023.0</v>
      </c>
      <c r="N679" s="214" t="s">
        <v>404</v>
      </c>
      <c r="O679" s="223">
        <v>3.0</v>
      </c>
      <c r="P679" s="224">
        <f t="shared" si="1"/>
        <v>0.2351920156</v>
      </c>
      <c r="Q679" s="214" t="str">
        <f t="shared" si="2"/>
        <v>Medium</v>
      </c>
    </row>
    <row r="680" ht="15.75" customHeight="1">
      <c r="A680" s="214" t="s">
        <v>1152</v>
      </c>
      <c r="B680" s="216">
        <v>2328.0</v>
      </c>
      <c r="C680" s="216">
        <v>788.0</v>
      </c>
      <c r="D680" s="217">
        <v>4.0</v>
      </c>
      <c r="E680" s="219" t="s">
        <v>242</v>
      </c>
      <c r="F680" s="219" t="s">
        <v>357</v>
      </c>
      <c r="G680" s="214" t="s">
        <v>392</v>
      </c>
      <c r="H680" s="221">
        <v>45137.0</v>
      </c>
      <c r="I680" s="219" t="s">
        <v>1153</v>
      </c>
      <c r="J680" s="219" t="s">
        <v>159</v>
      </c>
      <c r="K680" s="219" t="s">
        <v>409</v>
      </c>
      <c r="L680" s="214" t="s">
        <v>471</v>
      </c>
      <c r="M680" s="222">
        <v>2023.0</v>
      </c>
      <c r="N680" s="214" t="s">
        <v>404</v>
      </c>
      <c r="O680" s="223">
        <v>3.0</v>
      </c>
      <c r="P680" s="224">
        <f t="shared" si="1"/>
        <v>0.3384879725</v>
      </c>
      <c r="Q680" s="214" t="str">
        <f t="shared" si="2"/>
        <v>Medium</v>
      </c>
    </row>
    <row r="681" ht="15.75" customHeight="1">
      <c r="A681" s="214" t="s">
        <v>1152</v>
      </c>
      <c r="B681" s="216">
        <v>4734.0</v>
      </c>
      <c r="C681" s="216">
        <v>958.0</v>
      </c>
      <c r="D681" s="217">
        <v>7.0</v>
      </c>
      <c r="E681" s="219" t="s">
        <v>157</v>
      </c>
      <c r="F681" s="219" t="s">
        <v>354</v>
      </c>
      <c r="G681" s="214" t="s">
        <v>351</v>
      </c>
      <c r="H681" s="221">
        <v>45137.0</v>
      </c>
      <c r="I681" s="219" t="s">
        <v>1153</v>
      </c>
      <c r="J681" s="219" t="s">
        <v>159</v>
      </c>
      <c r="K681" s="219" t="s">
        <v>409</v>
      </c>
      <c r="L681" s="214" t="s">
        <v>471</v>
      </c>
      <c r="M681" s="222">
        <v>2023.0</v>
      </c>
      <c r="N681" s="214" t="s">
        <v>404</v>
      </c>
      <c r="O681" s="223">
        <v>3.0</v>
      </c>
      <c r="P681" s="224">
        <f t="shared" si="1"/>
        <v>0.202365864</v>
      </c>
      <c r="Q681" s="214" t="str">
        <f t="shared" si="2"/>
        <v>Medium</v>
      </c>
    </row>
    <row r="682" ht="15.75" customHeight="1">
      <c r="A682" s="214" t="s">
        <v>1154</v>
      </c>
      <c r="B682" s="216">
        <v>1388.0</v>
      </c>
      <c r="C682" s="216">
        <v>345.0</v>
      </c>
      <c r="D682" s="217">
        <v>5.0</v>
      </c>
      <c r="E682" s="219" t="s">
        <v>216</v>
      </c>
      <c r="F682" s="219" t="s">
        <v>347</v>
      </c>
      <c r="G682" s="214" t="s">
        <v>392</v>
      </c>
      <c r="H682" s="221">
        <v>45570.0</v>
      </c>
      <c r="I682" s="219" t="s">
        <v>1155</v>
      </c>
      <c r="J682" s="219" t="s">
        <v>223</v>
      </c>
      <c r="K682" s="219" t="s">
        <v>428</v>
      </c>
      <c r="L682" s="214" t="s">
        <v>485</v>
      </c>
      <c r="M682" s="222">
        <v>2024.0</v>
      </c>
      <c r="N682" s="214" t="s">
        <v>414</v>
      </c>
      <c r="O682" s="223">
        <v>4.0</v>
      </c>
      <c r="P682" s="224">
        <f t="shared" si="1"/>
        <v>0.2485590778</v>
      </c>
      <c r="Q682" s="214" t="str">
        <f t="shared" si="2"/>
        <v>Medium</v>
      </c>
    </row>
    <row r="683" ht="15.75" customHeight="1">
      <c r="A683" s="214" t="s">
        <v>1154</v>
      </c>
      <c r="B683" s="216">
        <v>8555.0</v>
      </c>
      <c r="C683" s="216">
        <v>1638.0</v>
      </c>
      <c r="D683" s="217">
        <v>8.0</v>
      </c>
      <c r="E683" s="219" t="s">
        <v>157</v>
      </c>
      <c r="F683" s="219" t="s">
        <v>360</v>
      </c>
      <c r="G683" s="214" t="s">
        <v>350</v>
      </c>
      <c r="H683" s="221">
        <v>45570.0</v>
      </c>
      <c r="I683" s="219" t="s">
        <v>1155</v>
      </c>
      <c r="J683" s="219" t="s">
        <v>223</v>
      </c>
      <c r="K683" s="219" t="s">
        <v>428</v>
      </c>
      <c r="L683" s="214" t="s">
        <v>485</v>
      </c>
      <c r="M683" s="222">
        <v>2024.0</v>
      </c>
      <c r="N683" s="214" t="s">
        <v>414</v>
      </c>
      <c r="O683" s="223">
        <v>4.0</v>
      </c>
      <c r="P683" s="224">
        <f t="shared" si="1"/>
        <v>0.1914669784</v>
      </c>
      <c r="Q683" s="214" t="str">
        <f t="shared" si="2"/>
        <v>High</v>
      </c>
    </row>
    <row r="684" ht="15.75" customHeight="1">
      <c r="A684" s="214" t="s">
        <v>1156</v>
      </c>
      <c r="B684" s="216">
        <v>9024.0</v>
      </c>
      <c r="C684" s="216">
        <v>730.0</v>
      </c>
      <c r="D684" s="217">
        <v>4.0</v>
      </c>
      <c r="E684" s="219" t="s">
        <v>216</v>
      </c>
      <c r="F684" s="219" t="s">
        <v>344</v>
      </c>
      <c r="G684" s="214" t="s">
        <v>350</v>
      </c>
      <c r="H684" s="221">
        <v>45342.0</v>
      </c>
      <c r="I684" s="219" t="s">
        <v>1157</v>
      </c>
      <c r="J684" s="219" t="s">
        <v>241</v>
      </c>
      <c r="K684" s="219" t="s">
        <v>493</v>
      </c>
      <c r="L684" s="214" t="s">
        <v>478</v>
      </c>
      <c r="M684" s="222">
        <v>2024.0</v>
      </c>
      <c r="N684" s="214" t="s">
        <v>494</v>
      </c>
      <c r="O684" s="223">
        <v>1.0</v>
      </c>
      <c r="P684" s="224">
        <f t="shared" si="1"/>
        <v>0.08089539007</v>
      </c>
      <c r="Q684" s="214" t="str">
        <f t="shared" si="2"/>
        <v>High</v>
      </c>
    </row>
    <row r="685" ht="15.75" customHeight="1">
      <c r="A685" s="214" t="s">
        <v>1156</v>
      </c>
      <c r="B685" s="216">
        <v>2468.0</v>
      </c>
      <c r="C685" s="216">
        <v>418.0</v>
      </c>
      <c r="D685" s="217">
        <v>4.0</v>
      </c>
      <c r="E685" s="219" t="s">
        <v>157</v>
      </c>
      <c r="F685" s="219" t="s">
        <v>360</v>
      </c>
      <c r="G685" s="214" t="s">
        <v>350</v>
      </c>
      <c r="H685" s="221">
        <v>45342.0</v>
      </c>
      <c r="I685" s="219" t="s">
        <v>1157</v>
      </c>
      <c r="J685" s="219" t="s">
        <v>241</v>
      </c>
      <c r="K685" s="219" t="s">
        <v>493</v>
      </c>
      <c r="L685" s="214" t="s">
        <v>478</v>
      </c>
      <c r="M685" s="222">
        <v>2024.0</v>
      </c>
      <c r="N685" s="214" t="s">
        <v>494</v>
      </c>
      <c r="O685" s="223">
        <v>1.0</v>
      </c>
      <c r="P685" s="224">
        <f t="shared" si="1"/>
        <v>0.1693679092</v>
      </c>
      <c r="Q685" s="214" t="str">
        <f t="shared" si="2"/>
        <v>Medium</v>
      </c>
    </row>
    <row r="686" ht="15.75" customHeight="1">
      <c r="A686" s="214" t="s">
        <v>1158</v>
      </c>
      <c r="B686" s="216">
        <v>9438.0</v>
      </c>
      <c r="C686" s="216">
        <v>1801.0</v>
      </c>
      <c r="D686" s="217">
        <v>4.0</v>
      </c>
      <c r="E686" s="219" t="s">
        <v>157</v>
      </c>
      <c r="F686" s="219" t="s">
        <v>355</v>
      </c>
      <c r="G686" s="214" t="s">
        <v>405</v>
      </c>
      <c r="H686" s="221">
        <v>45035.0</v>
      </c>
      <c r="I686" s="219" t="s">
        <v>1159</v>
      </c>
      <c r="J686" s="219" t="s">
        <v>159</v>
      </c>
      <c r="K686" s="219" t="s">
        <v>409</v>
      </c>
      <c r="L686" s="214" t="s">
        <v>468</v>
      </c>
      <c r="M686" s="222">
        <v>2023.0</v>
      </c>
      <c r="N686" s="214" t="s">
        <v>542</v>
      </c>
      <c r="O686" s="223">
        <v>2.0</v>
      </c>
      <c r="P686" s="224">
        <f t="shared" si="1"/>
        <v>0.1908243272</v>
      </c>
      <c r="Q686" s="214" t="str">
        <f t="shared" si="2"/>
        <v>High</v>
      </c>
    </row>
    <row r="687" ht="15.75" customHeight="1">
      <c r="A687" s="214" t="s">
        <v>1158</v>
      </c>
      <c r="B687" s="216">
        <v>9438.0</v>
      </c>
      <c r="C687" s="216">
        <v>1801.0</v>
      </c>
      <c r="D687" s="217">
        <v>4.0</v>
      </c>
      <c r="E687" s="219" t="s">
        <v>157</v>
      </c>
      <c r="F687" s="219" t="s">
        <v>355</v>
      </c>
      <c r="G687" s="214" t="s">
        <v>405</v>
      </c>
      <c r="H687" s="221">
        <v>45228.0</v>
      </c>
      <c r="I687" s="219" t="s">
        <v>1160</v>
      </c>
      <c r="J687" s="219" t="s">
        <v>241</v>
      </c>
      <c r="K687" s="219" t="s">
        <v>504</v>
      </c>
      <c r="L687" s="214" t="s">
        <v>475</v>
      </c>
      <c r="M687" s="222">
        <v>2023.0</v>
      </c>
      <c r="N687" s="214" t="s">
        <v>414</v>
      </c>
      <c r="O687" s="223">
        <v>4.0</v>
      </c>
      <c r="P687" s="224">
        <f t="shared" si="1"/>
        <v>0.1908243272</v>
      </c>
      <c r="Q687" s="214" t="str">
        <f t="shared" si="2"/>
        <v>High</v>
      </c>
    </row>
    <row r="688" ht="15.75" customHeight="1">
      <c r="A688" s="214" t="s">
        <v>1161</v>
      </c>
      <c r="B688" s="216">
        <v>2685.0</v>
      </c>
      <c r="C688" s="216">
        <v>379.0</v>
      </c>
      <c r="D688" s="217">
        <v>18.0</v>
      </c>
      <c r="E688" s="219" t="s">
        <v>157</v>
      </c>
      <c r="F688" s="219" t="s">
        <v>358</v>
      </c>
      <c r="G688" s="214" t="s">
        <v>392</v>
      </c>
      <c r="H688" s="221">
        <v>44628.0</v>
      </c>
      <c r="I688" s="219" t="s">
        <v>1162</v>
      </c>
      <c r="J688" s="219" t="s">
        <v>313</v>
      </c>
      <c r="K688" s="219" t="s">
        <v>526</v>
      </c>
      <c r="L688" s="214" t="s">
        <v>455</v>
      </c>
      <c r="M688" s="222">
        <v>2022.0</v>
      </c>
      <c r="N688" s="214" t="s">
        <v>433</v>
      </c>
      <c r="O688" s="223">
        <v>1.0</v>
      </c>
      <c r="P688" s="224">
        <f t="shared" si="1"/>
        <v>0.1411545624</v>
      </c>
      <c r="Q688" s="214" t="str">
        <f t="shared" si="2"/>
        <v>Medium</v>
      </c>
    </row>
    <row r="689" ht="15.75" customHeight="1">
      <c r="A689" s="214" t="s">
        <v>1161</v>
      </c>
      <c r="B689" s="216">
        <v>2685.0</v>
      </c>
      <c r="C689" s="216">
        <v>379.0</v>
      </c>
      <c r="D689" s="217">
        <v>18.0</v>
      </c>
      <c r="E689" s="219" t="s">
        <v>157</v>
      </c>
      <c r="F689" s="219" t="s">
        <v>358</v>
      </c>
      <c r="G689" s="214" t="s">
        <v>392</v>
      </c>
      <c r="H689" s="221">
        <v>44903.0</v>
      </c>
      <c r="I689" s="219" t="s">
        <v>1163</v>
      </c>
      <c r="J689" s="219" t="s">
        <v>159</v>
      </c>
      <c r="K689" s="219" t="s">
        <v>552</v>
      </c>
      <c r="L689" s="214" t="s">
        <v>464</v>
      </c>
      <c r="M689" s="222">
        <v>2022.0</v>
      </c>
      <c r="N689" s="214" t="s">
        <v>400</v>
      </c>
      <c r="O689" s="223">
        <v>4.0</v>
      </c>
      <c r="P689" s="224">
        <f t="shared" si="1"/>
        <v>0.1411545624</v>
      </c>
      <c r="Q689" s="214" t="str">
        <f t="shared" si="2"/>
        <v>Medium</v>
      </c>
    </row>
    <row r="690" ht="15.75" customHeight="1">
      <c r="A690" s="214" t="s">
        <v>1161</v>
      </c>
      <c r="B690" s="216">
        <v>9916.0</v>
      </c>
      <c r="C690" s="216">
        <v>4602.0</v>
      </c>
      <c r="D690" s="217">
        <v>14.0</v>
      </c>
      <c r="E690" s="219" t="s">
        <v>216</v>
      </c>
      <c r="F690" s="219" t="s">
        <v>359</v>
      </c>
      <c r="G690" s="214" t="s">
        <v>392</v>
      </c>
      <c r="H690" s="221">
        <v>44628.0</v>
      </c>
      <c r="I690" s="219" t="s">
        <v>1162</v>
      </c>
      <c r="J690" s="219" t="s">
        <v>313</v>
      </c>
      <c r="K690" s="219" t="s">
        <v>526</v>
      </c>
      <c r="L690" s="214" t="s">
        <v>455</v>
      </c>
      <c r="M690" s="222">
        <v>2022.0</v>
      </c>
      <c r="N690" s="214" t="s">
        <v>433</v>
      </c>
      <c r="O690" s="223">
        <v>1.0</v>
      </c>
      <c r="P690" s="224">
        <f t="shared" si="1"/>
        <v>0.4640984268</v>
      </c>
      <c r="Q690" s="214" t="str">
        <f t="shared" si="2"/>
        <v>High</v>
      </c>
    </row>
    <row r="691" ht="15.75" customHeight="1">
      <c r="A691" s="214" t="s">
        <v>1161</v>
      </c>
      <c r="B691" s="216">
        <v>9916.0</v>
      </c>
      <c r="C691" s="216">
        <v>4602.0</v>
      </c>
      <c r="D691" s="217">
        <v>14.0</v>
      </c>
      <c r="E691" s="219" t="s">
        <v>216</v>
      </c>
      <c r="F691" s="219" t="s">
        <v>359</v>
      </c>
      <c r="G691" s="214" t="s">
        <v>392</v>
      </c>
      <c r="H691" s="221">
        <v>44903.0</v>
      </c>
      <c r="I691" s="219" t="s">
        <v>1163</v>
      </c>
      <c r="J691" s="219" t="s">
        <v>159</v>
      </c>
      <c r="K691" s="219" t="s">
        <v>552</v>
      </c>
      <c r="L691" s="214" t="s">
        <v>464</v>
      </c>
      <c r="M691" s="222">
        <v>2022.0</v>
      </c>
      <c r="N691" s="214" t="s">
        <v>400</v>
      </c>
      <c r="O691" s="223">
        <v>4.0</v>
      </c>
      <c r="P691" s="224">
        <f t="shared" si="1"/>
        <v>0.4640984268</v>
      </c>
      <c r="Q691" s="214" t="str">
        <f t="shared" si="2"/>
        <v>High</v>
      </c>
    </row>
    <row r="692" ht="15.75" customHeight="1">
      <c r="A692" s="214" t="s">
        <v>1161</v>
      </c>
      <c r="B692" s="216">
        <v>6184.0</v>
      </c>
      <c r="C692" s="216">
        <v>50.0</v>
      </c>
      <c r="D692" s="217">
        <v>14.0</v>
      </c>
      <c r="E692" s="219" t="s">
        <v>157</v>
      </c>
      <c r="F692" s="219" t="s">
        <v>355</v>
      </c>
      <c r="G692" s="214" t="s">
        <v>350</v>
      </c>
      <c r="H692" s="221">
        <v>44628.0</v>
      </c>
      <c r="I692" s="219" t="s">
        <v>1162</v>
      </c>
      <c r="J692" s="219" t="s">
        <v>313</v>
      </c>
      <c r="K692" s="219" t="s">
        <v>526</v>
      </c>
      <c r="L692" s="214" t="s">
        <v>455</v>
      </c>
      <c r="M692" s="222">
        <v>2022.0</v>
      </c>
      <c r="N692" s="214" t="s">
        <v>433</v>
      </c>
      <c r="O692" s="223">
        <v>1.0</v>
      </c>
      <c r="P692" s="224">
        <f t="shared" si="1"/>
        <v>0.00808538163</v>
      </c>
      <c r="Q692" s="214" t="str">
        <f t="shared" si="2"/>
        <v>High</v>
      </c>
    </row>
    <row r="693" ht="15.75" customHeight="1">
      <c r="A693" s="214" t="s">
        <v>1161</v>
      </c>
      <c r="B693" s="216">
        <v>6184.0</v>
      </c>
      <c r="C693" s="216">
        <v>50.0</v>
      </c>
      <c r="D693" s="217">
        <v>14.0</v>
      </c>
      <c r="E693" s="219" t="s">
        <v>157</v>
      </c>
      <c r="F693" s="219" t="s">
        <v>355</v>
      </c>
      <c r="G693" s="214" t="s">
        <v>350</v>
      </c>
      <c r="H693" s="221">
        <v>44903.0</v>
      </c>
      <c r="I693" s="219" t="s">
        <v>1163</v>
      </c>
      <c r="J693" s="219" t="s">
        <v>159</v>
      </c>
      <c r="K693" s="219" t="s">
        <v>552</v>
      </c>
      <c r="L693" s="214" t="s">
        <v>464</v>
      </c>
      <c r="M693" s="222">
        <v>2022.0</v>
      </c>
      <c r="N693" s="214" t="s">
        <v>400</v>
      </c>
      <c r="O693" s="223">
        <v>4.0</v>
      </c>
      <c r="P693" s="224">
        <f t="shared" si="1"/>
        <v>0.00808538163</v>
      </c>
      <c r="Q693" s="214" t="str">
        <f t="shared" si="2"/>
        <v>High</v>
      </c>
    </row>
    <row r="694" ht="15.75" customHeight="1">
      <c r="A694" s="214" t="s">
        <v>1161</v>
      </c>
      <c r="B694" s="216">
        <v>4548.0</v>
      </c>
      <c r="C694" s="216">
        <v>2135.0</v>
      </c>
      <c r="D694" s="217">
        <v>8.0</v>
      </c>
      <c r="E694" s="219" t="s">
        <v>242</v>
      </c>
      <c r="F694" s="219" t="s">
        <v>317</v>
      </c>
      <c r="G694" s="214" t="s">
        <v>351</v>
      </c>
      <c r="H694" s="221">
        <v>44628.0</v>
      </c>
      <c r="I694" s="219" t="s">
        <v>1162</v>
      </c>
      <c r="J694" s="219" t="s">
        <v>313</v>
      </c>
      <c r="K694" s="219" t="s">
        <v>526</v>
      </c>
      <c r="L694" s="214" t="s">
        <v>455</v>
      </c>
      <c r="M694" s="222">
        <v>2022.0</v>
      </c>
      <c r="N694" s="214" t="s">
        <v>433</v>
      </c>
      <c r="O694" s="223">
        <v>1.0</v>
      </c>
      <c r="P694" s="224">
        <f t="shared" si="1"/>
        <v>0.4694371152</v>
      </c>
      <c r="Q694" s="214" t="str">
        <f t="shared" si="2"/>
        <v>Medium</v>
      </c>
    </row>
    <row r="695" ht="15.75" customHeight="1">
      <c r="A695" s="214" t="s">
        <v>1161</v>
      </c>
      <c r="B695" s="216">
        <v>4548.0</v>
      </c>
      <c r="C695" s="216">
        <v>2135.0</v>
      </c>
      <c r="D695" s="217">
        <v>8.0</v>
      </c>
      <c r="E695" s="219" t="s">
        <v>242</v>
      </c>
      <c r="F695" s="219" t="s">
        <v>317</v>
      </c>
      <c r="G695" s="214" t="s">
        <v>351</v>
      </c>
      <c r="H695" s="221">
        <v>44903.0</v>
      </c>
      <c r="I695" s="219" t="s">
        <v>1163</v>
      </c>
      <c r="J695" s="219" t="s">
        <v>159</v>
      </c>
      <c r="K695" s="219" t="s">
        <v>552</v>
      </c>
      <c r="L695" s="214" t="s">
        <v>464</v>
      </c>
      <c r="M695" s="222">
        <v>2022.0</v>
      </c>
      <c r="N695" s="214" t="s">
        <v>400</v>
      </c>
      <c r="O695" s="223">
        <v>4.0</v>
      </c>
      <c r="P695" s="224">
        <f t="shared" si="1"/>
        <v>0.4694371152</v>
      </c>
      <c r="Q695" s="214" t="str">
        <f t="shared" si="2"/>
        <v>Medium</v>
      </c>
    </row>
    <row r="696" ht="15.75" customHeight="1">
      <c r="A696" s="214" t="s">
        <v>1164</v>
      </c>
      <c r="B696" s="216">
        <v>7195.0</v>
      </c>
      <c r="C696" s="216">
        <v>1665.0</v>
      </c>
      <c r="D696" s="217">
        <v>7.0</v>
      </c>
      <c r="E696" s="219" t="s">
        <v>242</v>
      </c>
      <c r="F696" s="219" t="s">
        <v>317</v>
      </c>
      <c r="G696" s="214" t="s">
        <v>405</v>
      </c>
      <c r="H696" s="221">
        <v>45500.0</v>
      </c>
      <c r="I696" s="219" t="s">
        <v>1165</v>
      </c>
      <c r="J696" s="219" t="s">
        <v>223</v>
      </c>
      <c r="K696" s="219" t="s">
        <v>473</v>
      </c>
      <c r="L696" s="214" t="s">
        <v>482</v>
      </c>
      <c r="M696" s="222">
        <v>2024.0</v>
      </c>
      <c r="N696" s="214" t="s">
        <v>404</v>
      </c>
      <c r="O696" s="223">
        <v>3.0</v>
      </c>
      <c r="P696" s="224">
        <f t="shared" si="1"/>
        <v>0.2314107019</v>
      </c>
      <c r="Q696" s="214" t="str">
        <f t="shared" si="2"/>
        <v>High</v>
      </c>
    </row>
    <row r="697" ht="15.75" customHeight="1">
      <c r="A697" s="214" t="s">
        <v>1164</v>
      </c>
      <c r="B697" s="216">
        <v>7195.0</v>
      </c>
      <c r="C697" s="216">
        <v>1665.0</v>
      </c>
      <c r="D697" s="217">
        <v>7.0</v>
      </c>
      <c r="E697" s="219" t="s">
        <v>242</v>
      </c>
      <c r="F697" s="219" t="s">
        <v>317</v>
      </c>
      <c r="G697" s="214" t="s">
        <v>405</v>
      </c>
      <c r="H697" s="221">
        <v>44747.0</v>
      </c>
      <c r="I697" s="219" t="s">
        <v>1166</v>
      </c>
      <c r="J697" s="219" t="s">
        <v>223</v>
      </c>
      <c r="K697" s="219" t="s">
        <v>402</v>
      </c>
      <c r="L697" s="214" t="s">
        <v>460</v>
      </c>
      <c r="M697" s="222">
        <v>2022.0</v>
      </c>
      <c r="N697" s="214" t="s">
        <v>404</v>
      </c>
      <c r="O697" s="223">
        <v>3.0</v>
      </c>
      <c r="P697" s="224">
        <f t="shared" si="1"/>
        <v>0.2314107019</v>
      </c>
      <c r="Q697" s="214" t="str">
        <f t="shared" si="2"/>
        <v>High</v>
      </c>
    </row>
    <row r="698" ht="15.75" customHeight="1">
      <c r="A698" s="214" t="s">
        <v>1167</v>
      </c>
      <c r="B698" s="216">
        <v>3098.0</v>
      </c>
      <c r="C698" s="216">
        <v>957.0</v>
      </c>
      <c r="D698" s="217">
        <v>18.0</v>
      </c>
      <c r="E698" s="219" t="s">
        <v>216</v>
      </c>
      <c r="F698" s="219" t="s">
        <v>361</v>
      </c>
      <c r="G698" s="214" t="s">
        <v>405</v>
      </c>
      <c r="H698" s="221">
        <v>45477.0</v>
      </c>
      <c r="I698" s="219" t="s">
        <v>1168</v>
      </c>
      <c r="J698" s="219" t="s">
        <v>241</v>
      </c>
      <c r="K698" s="219" t="s">
        <v>504</v>
      </c>
      <c r="L698" s="214" t="s">
        <v>482</v>
      </c>
      <c r="M698" s="222">
        <v>2024.0</v>
      </c>
      <c r="N698" s="214" t="s">
        <v>404</v>
      </c>
      <c r="O698" s="223">
        <v>3.0</v>
      </c>
      <c r="P698" s="224">
        <f t="shared" si="1"/>
        <v>0.3089089735</v>
      </c>
      <c r="Q698" s="214" t="str">
        <f t="shared" si="2"/>
        <v>Medium</v>
      </c>
    </row>
    <row r="699" ht="15.75" customHeight="1">
      <c r="A699" s="214" t="s">
        <v>1169</v>
      </c>
      <c r="B699" s="216">
        <v>5412.0</v>
      </c>
      <c r="C699" s="216">
        <v>1192.0</v>
      </c>
      <c r="D699" s="217">
        <v>18.0</v>
      </c>
      <c r="E699" s="219" t="s">
        <v>216</v>
      </c>
      <c r="F699" s="219" t="s">
        <v>344</v>
      </c>
      <c r="G699" s="214" t="s">
        <v>350</v>
      </c>
      <c r="H699" s="221">
        <v>45350.0</v>
      </c>
      <c r="I699" s="219" t="s">
        <v>1170</v>
      </c>
      <c r="J699" s="219" t="s">
        <v>117</v>
      </c>
      <c r="K699" s="219" t="s">
        <v>496</v>
      </c>
      <c r="L699" s="214" t="s">
        <v>478</v>
      </c>
      <c r="M699" s="222">
        <v>2024.0</v>
      </c>
      <c r="N699" s="214" t="s">
        <v>494</v>
      </c>
      <c r="O699" s="223">
        <v>1.0</v>
      </c>
      <c r="P699" s="224">
        <f t="shared" si="1"/>
        <v>0.2202512934</v>
      </c>
      <c r="Q699" s="214" t="str">
        <f t="shared" si="2"/>
        <v>High</v>
      </c>
    </row>
    <row r="700" ht="15.75" customHeight="1">
      <c r="A700" s="214" t="s">
        <v>1169</v>
      </c>
      <c r="B700" s="216">
        <v>5412.0</v>
      </c>
      <c r="C700" s="216">
        <v>1192.0</v>
      </c>
      <c r="D700" s="217">
        <v>18.0</v>
      </c>
      <c r="E700" s="219" t="s">
        <v>216</v>
      </c>
      <c r="F700" s="219" t="s">
        <v>344</v>
      </c>
      <c r="G700" s="214" t="s">
        <v>350</v>
      </c>
      <c r="H700" s="221">
        <v>45660.0</v>
      </c>
      <c r="I700" s="219" t="s">
        <v>1171</v>
      </c>
      <c r="J700" s="219" t="s">
        <v>117</v>
      </c>
      <c r="K700" s="219" t="s">
        <v>423</v>
      </c>
      <c r="L700" s="214" t="s">
        <v>487</v>
      </c>
      <c r="M700" s="222">
        <v>2025.0</v>
      </c>
      <c r="N700" s="214" t="s">
        <v>497</v>
      </c>
      <c r="O700" s="223">
        <v>1.0</v>
      </c>
      <c r="P700" s="224">
        <f t="shared" si="1"/>
        <v>0.2202512934</v>
      </c>
      <c r="Q700" s="214" t="str">
        <f t="shared" si="2"/>
        <v>High</v>
      </c>
    </row>
    <row r="701" ht="15.75" customHeight="1">
      <c r="A701" s="214" t="s">
        <v>1172</v>
      </c>
      <c r="B701" s="216">
        <v>1397.0</v>
      </c>
      <c r="C701" s="216">
        <v>686.0</v>
      </c>
      <c r="D701" s="217">
        <v>11.0</v>
      </c>
      <c r="E701" s="219" t="s">
        <v>216</v>
      </c>
      <c r="F701" s="219" t="s">
        <v>359</v>
      </c>
      <c r="G701" s="214" t="s">
        <v>350</v>
      </c>
      <c r="H701" s="221">
        <v>44537.0</v>
      </c>
      <c r="I701" s="219" t="s">
        <v>1173</v>
      </c>
      <c r="J701" s="219" t="s">
        <v>223</v>
      </c>
      <c r="K701" s="219" t="s">
        <v>428</v>
      </c>
      <c r="L701" s="214" t="s">
        <v>452</v>
      </c>
      <c r="M701" s="222">
        <v>2021.0</v>
      </c>
      <c r="N701" s="214" t="s">
        <v>400</v>
      </c>
      <c r="O701" s="223">
        <v>4.0</v>
      </c>
      <c r="P701" s="224">
        <f t="shared" si="1"/>
        <v>0.4910522548</v>
      </c>
      <c r="Q701" s="214" t="str">
        <f t="shared" si="2"/>
        <v>Medium</v>
      </c>
    </row>
    <row r="702" ht="15.75" customHeight="1">
      <c r="A702" s="214" t="s">
        <v>1174</v>
      </c>
      <c r="B702" s="216">
        <v>9279.0</v>
      </c>
      <c r="C702" s="216">
        <v>552.0</v>
      </c>
      <c r="D702" s="217">
        <v>14.0</v>
      </c>
      <c r="E702" s="219" t="s">
        <v>216</v>
      </c>
      <c r="F702" s="219" t="s">
        <v>359</v>
      </c>
      <c r="G702" s="214" t="s">
        <v>406</v>
      </c>
      <c r="H702" s="221">
        <v>44544.0</v>
      </c>
      <c r="I702" s="219" t="s">
        <v>1175</v>
      </c>
      <c r="J702" s="219" t="s">
        <v>223</v>
      </c>
      <c r="K702" s="219" t="s">
        <v>402</v>
      </c>
      <c r="L702" s="214" t="s">
        <v>452</v>
      </c>
      <c r="M702" s="222">
        <v>2021.0</v>
      </c>
      <c r="N702" s="214" t="s">
        <v>400</v>
      </c>
      <c r="O702" s="223">
        <v>4.0</v>
      </c>
      <c r="P702" s="224">
        <f t="shared" si="1"/>
        <v>0.05948916909</v>
      </c>
      <c r="Q702" s="214" t="str">
        <f t="shared" si="2"/>
        <v>High</v>
      </c>
    </row>
    <row r="703" ht="15.75" customHeight="1">
      <c r="A703" s="214" t="s">
        <v>1174</v>
      </c>
      <c r="B703" s="216">
        <v>9279.0</v>
      </c>
      <c r="C703" s="216">
        <v>552.0</v>
      </c>
      <c r="D703" s="217">
        <v>14.0</v>
      </c>
      <c r="E703" s="219" t="s">
        <v>216</v>
      </c>
      <c r="F703" s="219" t="s">
        <v>359</v>
      </c>
      <c r="G703" s="214" t="s">
        <v>406</v>
      </c>
      <c r="H703" s="221">
        <v>44165.0</v>
      </c>
      <c r="I703" s="219" t="s">
        <v>1176</v>
      </c>
      <c r="J703" s="219" t="s">
        <v>117</v>
      </c>
      <c r="K703" s="219" t="s">
        <v>508</v>
      </c>
      <c r="L703" s="214" t="s">
        <v>436</v>
      </c>
      <c r="M703" s="222">
        <v>2020.0</v>
      </c>
      <c r="N703" s="214" t="s">
        <v>425</v>
      </c>
      <c r="O703" s="223">
        <v>4.0</v>
      </c>
      <c r="P703" s="224">
        <f t="shared" si="1"/>
        <v>0.05948916909</v>
      </c>
      <c r="Q703" s="214" t="str">
        <f t="shared" si="2"/>
        <v>High</v>
      </c>
    </row>
    <row r="704" ht="15.75" customHeight="1">
      <c r="A704" s="214" t="s">
        <v>1174</v>
      </c>
      <c r="B704" s="216">
        <v>2596.0</v>
      </c>
      <c r="C704" s="216">
        <v>1003.0</v>
      </c>
      <c r="D704" s="217">
        <v>19.0</v>
      </c>
      <c r="E704" s="219" t="s">
        <v>242</v>
      </c>
      <c r="F704" s="219" t="s">
        <v>357</v>
      </c>
      <c r="G704" s="214" t="s">
        <v>350</v>
      </c>
      <c r="H704" s="221">
        <v>44544.0</v>
      </c>
      <c r="I704" s="219" t="s">
        <v>1175</v>
      </c>
      <c r="J704" s="219" t="s">
        <v>223</v>
      </c>
      <c r="K704" s="219" t="s">
        <v>402</v>
      </c>
      <c r="L704" s="214" t="s">
        <v>452</v>
      </c>
      <c r="M704" s="222">
        <v>2021.0</v>
      </c>
      <c r="N704" s="214" t="s">
        <v>400</v>
      </c>
      <c r="O704" s="223">
        <v>4.0</v>
      </c>
      <c r="P704" s="224">
        <f t="shared" si="1"/>
        <v>0.3863636364</v>
      </c>
      <c r="Q704" s="214" t="str">
        <f t="shared" si="2"/>
        <v>Medium</v>
      </c>
    </row>
    <row r="705" ht="15.75" customHeight="1">
      <c r="A705" s="214" t="s">
        <v>1174</v>
      </c>
      <c r="B705" s="216">
        <v>2596.0</v>
      </c>
      <c r="C705" s="216">
        <v>1003.0</v>
      </c>
      <c r="D705" s="217">
        <v>19.0</v>
      </c>
      <c r="E705" s="219" t="s">
        <v>242</v>
      </c>
      <c r="F705" s="219" t="s">
        <v>357</v>
      </c>
      <c r="G705" s="214" t="s">
        <v>350</v>
      </c>
      <c r="H705" s="221">
        <v>44165.0</v>
      </c>
      <c r="I705" s="219" t="s">
        <v>1176</v>
      </c>
      <c r="J705" s="219" t="s">
        <v>117</v>
      </c>
      <c r="K705" s="219" t="s">
        <v>508</v>
      </c>
      <c r="L705" s="214" t="s">
        <v>436</v>
      </c>
      <c r="M705" s="222">
        <v>2020.0</v>
      </c>
      <c r="N705" s="214" t="s">
        <v>425</v>
      </c>
      <c r="O705" s="223">
        <v>4.0</v>
      </c>
      <c r="P705" s="224">
        <f t="shared" si="1"/>
        <v>0.3863636364</v>
      </c>
      <c r="Q705" s="214" t="str">
        <f t="shared" si="2"/>
        <v>Medium</v>
      </c>
    </row>
    <row r="706" ht="15.75" customHeight="1">
      <c r="A706" s="214" t="s">
        <v>1177</v>
      </c>
      <c r="B706" s="216">
        <v>6732.0</v>
      </c>
      <c r="C706" s="216">
        <v>911.0</v>
      </c>
      <c r="D706" s="217">
        <v>19.0</v>
      </c>
      <c r="E706" s="219" t="s">
        <v>216</v>
      </c>
      <c r="F706" s="219" t="s">
        <v>361</v>
      </c>
      <c r="G706" s="214" t="s">
        <v>406</v>
      </c>
      <c r="H706" s="221">
        <v>44559.0</v>
      </c>
      <c r="I706" s="219" t="s">
        <v>1178</v>
      </c>
      <c r="J706" s="219" t="s">
        <v>223</v>
      </c>
      <c r="K706" s="219" t="s">
        <v>402</v>
      </c>
      <c r="L706" s="214" t="s">
        <v>452</v>
      </c>
      <c r="M706" s="222">
        <v>2021.0</v>
      </c>
      <c r="N706" s="214" t="s">
        <v>400</v>
      </c>
      <c r="O706" s="223">
        <v>4.0</v>
      </c>
      <c r="P706" s="224">
        <f t="shared" si="1"/>
        <v>0.1353238265</v>
      </c>
      <c r="Q706" s="214" t="str">
        <f t="shared" si="2"/>
        <v>High</v>
      </c>
    </row>
    <row r="707" ht="15.75" customHeight="1">
      <c r="A707" s="214" t="s">
        <v>1177</v>
      </c>
      <c r="B707" s="216">
        <v>4495.0</v>
      </c>
      <c r="C707" s="216">
        <v>1408.0</v>
      </c>
      <c r="D707" s="217">
        <v>14.0</v>
      </c>
      <c r="E707" s="219" t="s">
        <v>242</v>
      </c>
      <c r="F707" s="219" t="s">
        <v>356</v>
      </c>
      <c r="G707" s="214" t="s">
        <v>406</v>
      </c>
      <c r="H707" s="221">
        <v>44559.0</v>
      </c>
      <c r="I707" s="219" t="s">
        <v>1178</v>
      </c>
      <c r="J707" s="219" t="s">
        <v>223</v>
      </c>
      <c r="K707" s="219" t="s">
        <v>402</v>
      </c>
      <c r="L707" s="214" t="s">
        <v>452</v>
      </c>
      <c r="M707" s="222">
        <v>2021.0</v>
      </c>
      <c r="N707" s="214" t="s">
        <v>400</v>
      </c>
      <c r="O707" s="223">
        <v>4.0</v>
      </c>
      <c r="P707" s="224">
        <f t="shared" si="1"/>
        <v>0.3132369299</v>
      </c>
      <c r="Q707" s="214" t="str">
        <f t="shared" si="2"/>
        <v>Medium</v>
      </c>
    </row>
    <row r="708" ht="15.75" customHeight="1">
      <c r="A708" s="214" t="s">
        <v>1179</v>
      </c>
      <c r="B708" s="216">
        <v>9653.0</v>
      </c>
      <c r="C708" s="216">
        <v>2471.0</v>
      </c>
      <c r="D708" s="217">
        <v>6.0</v>
      </c>
      <c r="E708" s="219" t="s">
        <v>242</v>
      </c>
      <c r="F708" s="219" t="s">
        <v>357</v>
      </c>
      <c r="G708" s="214" t="s">
        <v>392</v>
      </c>
      <c r="H708" s="221">
        <v>45481.0</v>
      </c>
      <c r="I708" s="219" t="s">
        <v>1180</v>
      </c>
      <c r="J708" s="219" t="s">
        <v>223</v>
      </c>
      <c r="K708" s="219" t="s">
        <v>402</v>
      </c>
      <c r="L708" s="214" t="s">
        <v>482</v>
      </c>
      <c r="M708" s="222">
        <v>2024.0</v>
      </c>
      <c r="N708" s="214" t="s">
        <v>404</v>
      </c>
      <c r="O708" s="223">
        <v>3.0</v>
      </c>
      <c r="P708" s="224">
        <f t="shared" si="1"/>
        <v>0.2559825961</v>
      </c>
      <c r="Q708" s="214" t="str">
        <f t="shared" si="2"/>
        <v>High</v>
      </c>
    </row>
    <row r="709" ht="15.75" customHeight="1">
      <c r="A709" s="214" t="s">
        <v>1181</v>
      </c>
      <c r="B709" s="216">
        <v>8945.0</v>
      </c>
      <c r="C709" s="216">
        <v>1728.0</v>
      </c>
      <c r="D709" s="217">
        <v>10.0</v>
      </c>
      <c r="E709" s="219" t="s">
        <v>216</v>
      </c>
      <c r="F709" s="219" t="s">
        <v>344</v>
      </c>
      <c r="G709" s="214" t="s">
        <v>392</v>
      </c>
      <c r="H709" s="221">
        <v>44237.0</v>
      </c>
      <c r="I709" s="219" t="s">
        <v>1182</v>
      </c>
      <c r="J709" s="219" t="s">
        <v>271</v>
      </c>
      <c r="K709" s="219" t="s">
        <v>568</v>
      </c>
      <c r="L709" s="214" t="s">
        <v>439</v>
      </c>
      <c r="M709" s="222">
        <v>2021.0</v>
      </c>
      <c r="N709" s="214" t="s">
        <v>494</v>
      </c>
      <c r="O709" s="223">
        <v>1.0</v>
      </c>
      <c r="P709" s="224">
        <f t="shared" si="1"/>
        <v>0.1931805478</v>
      </c>
      <c r="Q709" s="214" t="str">
        <f t="shared" si="2"/>
        <v>High</v>
      </c>
    </row>
    <row r="710" ht="15.75" customHeight="1">
      <c r="A710" s="214" t="s">
        <v>1183</v>
      </c>
      <c r="B710" s="216">
        <v>4007.0</v>
      </c>
      <c r="C710" s="216">
        <v>201.0</v>
      </c>
      <c r="D710" s="217">
        <v>13.0</v>
      </c>
      <c r="E710" s="219" t="s">
        <v>216</v>
      </c>
      <c r="F710" s="219" t="s">
        <v>361</v>
      </c>
      <c r="G710" s="214" t="s">
        <v>405</v>
      </c>
      <c r="H710" s="221">
        <v>44125.0</v>
      </c>
      <c r="I710" s="219" t="s">
        <v>1184</v>
      </c>
      <c r="J710" s="219" t="s">
        <v>313</v>
      </c>
      <c r="K710" s="219" t="s">
        <v>512</v>
      </c>
      <c r="L710" s="214" t="s">
        <v>435</v>
      </c>
      <c r="M710" s="222">
        <v>2020.0</v>
      </c>
      <c r="N710" s="214" t="s">
        <v>414</v>
      </c>
      <c r="O710" s="223">
        <v>4.0</v>
      </c>
      <c r="P710" s="224">
        <f t="shared" si="1"/>
        <v>0.05016221612</v>
      </c>
      <c r="Q710" s="214" t="str">
        <f t="shared" si="2"/>
        <v>Medium</v>
      </c>
    </row>
    <row r="711" ht="15.75" customHeight="1">
      <c r="A711" s="214" t="s">
        <v>1183</v>
      </c>
      <c r="B711" s="216">
        <v>4007.0</v>
      </c>
      <c r="C711" s="216">
        <v>201.0</v>
      </c>
      <c r="D711" s="217">
        <v>13.0</v>
      </c>
      <c r="E711" s="219" t="s">
        <v>216</v>
      </c>
      <c r="F711" s="219" t="s">
        <v>361</v>
      </c>
      <c r="G711" s="214" t="s">
        <v>405</v>
      </c>
      <c r="H711" s="221">
        <v>45033.0</v>
      </c>
      <c r="I711" s="219" t="s">
        <v>1185</v>
      </c>
      <c r="J711" s="219" t="s">
        <v>241</v>
      </c>
      <c r="K711" s="219" t="s">
        <v>493</v>
      </c>
      <c r="L711" s="214" t="s">
        <v>468</v>
      </c>
      <c r="M711" s="222">
        <v>2023.0</v>
      </c>
      <c r="N711" s="214" t="s">
        <v>542</v>
      </c>
      <c r="O711" s="223">
        <v>2.0</v>
      </c>
      <c r="P711" s="224">
        <f t="shared" si="1"/>
        <v>0.05016221612</v>
      </c>
      <c r="Q711" s="214" t="str">
        <f t="shared" si="2"/>
        <v>Medium</v>
      </c>
    </row>
    <row r="712" ht="15.75" customHeight="1">
      <c r="A712" s="214" t="s">
        <v>1186</v>
      </c>
      <c r="B712" s="216">
        <v>810.0</v>
      </c>
      <c r="C712" s="216">
        <v>231.0</v>
      </c>
      <c r="D712" s="217">
        <v>18.0</v>
      </c>
      <c r="E712" s="219" t="s">
        <v>216</v>
      </c>
      <c r="F712" s="219" t="s">
        <v>361</v>
      </c>
      <c r="G712" s="214" t="s">
        <v>406</v>
      </c>
      <c r="H712" s="221">
        <v>44125.0</v>
      </c>
      <c r="I712" s="219" t="s">
        <v>1187</v>
      </c>
      <c r="J712" s="219" t="s">
        <v>159</v>
      </c>
      <c r="K712" s="219" t="s">
        <v>552</v>
      </c>
      <c r="L712" s="214" t="s">
        <v>435</v>
      </c>
      <c r="M712" s="222">
        <v>2020.0</v>
      </c>
      <c r="N712" s="214" t="s">
        <v>414</v>
      </c>
      <c r="O712" s="223">
        <v>4.0</v>
      </c>
      <c r="P712" s="224">
        <f t="shared" si="1"/>
        <v>0.2851851852</v>
      </c>
      <c r="Q712" s="214" t="str">
        <f t="shared" si="2"/>
        <v>Medium</v>
      </c>
    </row>
    <row r="713" ht="15.75" customHeight="1">
      <c r="A713" s="214" t="s">
        <v>1188</v>
      </c>
      <c r="B713" s="216">
        <v>9789.0</v>
      </c>
      <c r="C713" s="216">
        <v>2071.0</v>
      </c>
      <c r="D713" s="217">
        <v>18.0</v>
      </c>
      <c r="E713" s="219" t="s">
        <v>216</v>
      </c>
      <c r="F713" s="219" t="s">
        <v>361</v>
      </c>
      <c r="G713" s="214" t="s">
        <v>351</v>
      </c>
      <c r="H713" s="221">
        <v>45288.0</v>
      </c>
      <c r="I713" s="219" t="s">
        <v>1189</v>
      </c>
      <c r="J713" s="219" t="s">
        <v>223</v>
      </c>
      <c r="K713" s="219" t="s">
        <v>473</v>
      </c>
      <c r="L713" s="214" t="s">
        <v>476</v>
      </c>
      <c r="M713" s="222">
        <v>2023.0</v>
      </c>
      <c r="N713" s="214" t="s">
        <v>400</v>
      </c>
      <c r="O713" s="223">
        <v>4.0</v>
      </c>
      <c r="P713" s="224">
        <f t="shared" si="1"/>
        <v>0.2115640004</v>
      </c>
      <c r="Q713" s="214" t="str">
        <f t="shared" si="2"/>
        <v>High</v>
      </c>
    </row>
    <row r="714" ht="15.75" customHeight="1">
      <c r="A714" s="214" t="s">
        <v>1188</v>
      </c>
      <c r="B714" s="216">
        <v>9229.0</v>
      </c>
      <c r="C714" s="216">
        <v>4090.0</v>
      </c>
      <c r="D714" s="217">
        <v>8.0</v>
      </c>
      <c r="E714" s="219" t="s">
        <v>157</v>
      </c>
      <c r="F714" s="219" t="s">
        <v>355</v>
      </c>
      <c r="G714" s="214" t="s">
        <v>405</v>
      </c>
      <c r="H714" s="221">
        <v>45288.0</v>
      </c>
      <c r="I714" s="219" t="s">
        <v>1189</v>
      </c>
      <c r="J714" s="219" t="s">
        <v>223</v>
      </c>
      <c r="K714" s="219" t="s">
        <v>473</v>
      </c>
      <c r="L714" s="214" t="s">
        <v>476</v>
      </c>
      <c r="M714" s="222">
        <v>2023.0</v>
      </c>
      <c r="N714" s="214" t="s">
        <v>400</v>
      </c>
      <c r="O714" s="223">
        <v>4.0</v>
      </c>
      <c r="P714" s="224">
        <f t="shared" si="1"/>
        <v>0.4431682739</v>
      </c>
      <c r="Q714" s="214" t="str">
        <f t="shared" si="2"/>
        <v>High</v>
      </c>
    </row>
    <row r="715" ht="15.75" customHeight="1">
      <c r="A715" s="214" t="s">
        <v>1190</v>
      </c>
      <c r="B715" s="216">
        <v>8141.0</v>
      </c>
      <c r="C715" s="216">
        <v>3968.0</v>
      </c>
      <c r="D715" s="217">
        <v>18.0</v>
      </c>
      <c r="E715" s="219" t="s">
        <v>242</v>
      </c>
      <c r="F715" s="219" t="s">
        <v>317</v>
      </c>
      <c r="G715" s="214" t="s">
        <v>351</v>
      </c>
      <c r="H715" s="221">
        <v>44918.0</v>
      </c>
      <c r="I715" s="219" t="s">
        <v>1191</v>
      </c>
      <c r="J715" s="219" t="s">
        <v>223</v>
      </c>
      <c r="K715" s="219" t="s">
        <v>473</v>
      </c>
      <c r="L715" s="214" t="s">
        <v>464</v>
      </c>
      <c r="M715" s="222">
        <v>2022.0</v>
      </c>
      <c r="N715" s="214" t="s">
        <v>400</v>
      </c>
      <c r="O715" s="223">
        <v>4.0</v>
      </c>
      <c r="P715" s="224">
        <f t="shared" si="1"/>
        <v>0.4874094092</v>
      </c>
      <c r="Q715" s="214" t="str">
        <f t="shared" si="2"/>
        <v>High</v>
      </c>
    </row>
    <row r="716" ht="15.75" customHeight="1">
      <c r="A716" s="214" t="s">
        <v>1190</v>
      </c>
      <c r="B716" s="216">
        <v>8141.0</v>
      </c>
      <c r="C716" s="216">
        <v>3968.0</v>
      </c>
      <c r="D716" s="217">
        <v>18.0</v>
      </c>
      <c r="E716" s="219" t="s">
        <v>242</v>
      </c>
      <c r="F716" s="219" t="s">
        <v>317</v>
      </c>
      <c r="G716" s="214" t="s">
        <v>351</v>
      </c>
      <c r="H716" s="221">
        <v>44783.0</v>
      </c>
      <c r="I716" s="219" t="s">
        <v>1192</v>
      </c>
      <c r="J716" s="219" t="s">
        <v>271</v>
      </c>
      <c r="K716" s="219" t="s">
        <v>568</v>
      </c>
      <c r="L716" s="214" t="s">
        <v>461</v>
      </c>
      <c r="M716" s="222">
        <v>2022.0</v>
      </c>
      <c r="N716" s="214" t="s">
        <v>523</v>
      </c>
      <c r="O716" s="223">
        <v>3.0</v>
      </c>
      <c r="P716" s="224">
        <f t="shared" si="1"/>
        <v>0.4874094092</v>
      </c>
      <c r="Q716" s="214" t="str">
        <f t="shared" si="2"/>
        <v>High</v>
      </c>
    </row>
    <row r="717" ht="15.75" customHeight="1">
      <c r="A717" s="214" t="s">
        <v>1190</v>
      </c>
      <c r="B717" s="216">
        <v>1067.0</v>
      </c>
      <c r="C717" s="216">
        <v>251.0</v>
      </c>
      <c r="D717" s="217">
        <v>14.0</v>
      </c>
      <c r="E717" s="219" t="s">
        <v>216</v>
      </c>
      <c r="F717" s="219" t="s">
        <v>347</v>
      </c>
      <c r="G717" s="214" t="s">
        <v>406</v>
      </c>
      <c r="H717" s="221">
        <v>44918.0</v>
      </c>
      <c r="I717" s="219" t="s">
        <v>1191</v>
      </c>
      <c r="J717" s="219" t="s">
        <v>223</v>
      </c>
      <c r="K717" s="219" t="s">
        <v>473</v>
      </c>
      <c r="L717" s="214" t="s">
        <v>464</v>
      </c>
      <c r="M717" s="222">
        <v>2022.0</v>
      </c>
      <c r="N717" s="214" t="s">
        <v>400</v>
      </c>
      <c r="O717" s="223">
        <v>4.0</v>
      </c>
      <c r="P717" s="224">
        <f t="shared" si="1"/>
        <v>0.2352389878</v>
      </c>
      <c r="Q717" s="214" t="str">
        <f t="shared" si="2"/>
        <v>Medium</v>
      </c>
    </row>
    <row r="718" ht="15.75" customHeight="1">
      <c r="A718" s="214" t="s">
        <v>1190</v>
      </c>
      <c r="B718" s="216">
        <v>1067.0</v>
      </c>
      <c r="C718" s="216">
        <v>251.0</v>
      </c>
      <c r="D718" s="217">
        <v>14.0</v>
      </c>
      <c r="E718" s="219" t="s">
        <v>216</v>
      </c>
      <c r="F718" s="219" t="s">
        <v>347</v>
      </c>
      <c r="G718" s="214" t="s">
        <v>406</v>
      </c>
      <c r="H718" s="221">
        <v>44783.0</v>
      </c>
      <c r="I718" s="219" t="s">
        <v>1192</v>
      </c>
      <c r="J718" s="219" t="s">
        <v>271</v>
      </c>
      <c r="K718" s="219" t="s">
        <v>568</v>
      </c>
      <c r="L718" s="214" t="s">
        <v>461</v>
      </c>
      <c r="M718" s="222">
        <v>2022.0</v>
      </c>
      <c r="N718" s="214" t="s">
        <v>523</v>
      </c>
      <c r="O718" s="223">
        <v>3.0</v>
      </c>
      <c r="P718" s="224">
        <f t="shared" si="1"/>
        <v>0.2352389878</v>
      </c>
      <c r="Q718" s="214" t="str">
        <f t="shared" si="2"/>
        <v>Medium</v>
      </c>
    </row>
    <row r="719" ht="15.75" customHeight="1">
      <c r="A719" s="214" t="s">
        <v>1193</v>
      </c>
      <c r="B719" s="216">
        <v>3839.0</v>
      </c>
      <c r="C719" s="216">
        <v>1415.0</v>
      </c>
      <c r="D719" s="217">
        <v>10.0</v>
      </c>
      <c r="E719" s="219" t="s">
        <v>242</v>
      </c>
      <c r="F719" s="219" t="s">
        <v>362</v>
      </c>
      <c r="G719" s="214" t="s">
        <v>392</v>
      </c>
      <c r="H719" s="221">
        <v>45216.0</v>
      </c>
      <c r="I719" s="219" t="s">
        <v>1194</v>
      </c>
      <c r="J719" s="219" t="s">
        <v>117</v>
      </c>
      <c r="K719" s="219" t="s">
        <v>423</v>
      </c>
      <c r="L719" s="214" t="s">
        <v>475</v>
      </c>
      <c r="M719" s="222">
        <v>2023.0</v>
      </c>
      <c r="N719" s="214" t="s">
        <v>414</v>
      </c>
      <c r="O719" s="223">
        <v>4.0</v>
      </c>
      <c r="P719" s="224">
        <f t="shared" si="1"/>
        <v>0.3685855692</v>
      </c>
      <c r="Q719" s="214" t="str">
        <f t="shared" si="2"/>
        <v>Medium</v>
      </c>
    </row>
    <row r="720" ht="15.75" customHeight="1">
      <c r="A720" s="214" t="s">
        <v>1193</v>
      </c>
      <c r="B720" s="216">
        <v>3839.0</v>
      </c>
      <c r="C720" s="216">
        <v>1415.0</v>
      </c>
      <c r="D720" s="217">
        <v>10.0</v>
      </c>
      <c r="E720" s="219" t="s">
        <v>242</v>
      </c>
      <c r="F720" s="219" t="s">
        <v>362</v>
      </c>
      <c r="G720" s="214" t="s">
        <v>392</v>
      </c>
      <c r="H720" s="221">
        <v>44620.0</v>
      </c>
      <c r="I720" s="219" t="s">
        <v>1195</v>
      </c>
      <c r="J720" s="219" t="s">
        <v>159</v>
      </c>
      <c r="K720" s="219" t="s">
        <v>409</v>
      </c>
      <c r="L720" s="214" t="s">
        <v>454</v>
      </c>
      <c r="M720" s="222">
        <v>2022.0</v>
      </c>
      <c r="N720" s="214" t="s">
        <v>494</v>
      </c>
      <c r="O720" s="223">
        <v>1.0</v>
      </c>
      <c r="P720" s="224">
        <f t="shared" si="1"/>
        <v>0.3685855692</v>
      </c>
      <c r="Q720" s="214" t="str">
        <f t="shared" si="2"/>
        <v>Medium</v>
      </c>
    </row>
    <row r="721" ht="15.75" customHeight="1">
      <c r="A721" s="214" t="s">
        <v>1196</v>
      </c>
      <c r="B721" s="216">
        <v>2858.0</v>
      </c>
      <c r="C721" s="216">
        <v>482.0</v>
      </c>
      <c r="D721" s="217">
        <v>13.0</v>
      </c>
      <c r="E721" s="219" t="s">
        <v>157</v>
      </c>
      <c r="F721" s="219" t="s">
        <v>355</v>
      </c>
      <c r="G721" s="214" t="s">
        <v>405</v>
      </c>
      <c r="H721" s="221">
        <v>45436.0</v>
      </c>
      <c r="I721" s="219" t="s">
        <v>1197</v>
      </c>
      <c r="J721" s="219" t="s">
        <v>241</v>
      </c>
      <c r="K721" s="219" t="s">
        <v>504</v>
      </c>
      <c r="L721" s="214" t="s">
        <v>410</v>
      </c>
      <c r="M721" s="222">
        <v>2024.0</v>
      </c>
      <c r="N721" s="214" t="s">
        <v>411</v>
      </c>
      <c r="O721" s="223">
        <v>2.0</v>
      </c>
      <c r="P721" s="224">
        <f t="shared" si="1"/>
        <v>0.1686494052</v>
      </c>
      <c r="Q721" s="214" t="str">
        <f t="shared" si="2"/>
        <v>Medium</v>
      </c>
    </row>
    <row r="722" ht="15.75" customHeight="1">
      <c r="A722" s="214" t="s">
        <v>1198</v>
      </c>
      <c r="B722" s="216">
        <v>2137.0</v>
      </c>
      <c r="C722" s="216">
        <v>638.0</v>
      </c>
      <c r="D722" s="217">
        <v>12.0</v>
      </c>
      <c r="E722" s="219" t="s">
        <v>216</v>
      </c>
      <c r="F722" s="219" t="s">
        <v>361</v>
      </c>
      <c r="G722" s="214" t="s">
        <v>351</v>
      </c>
      <c r="H722" s="221">
        <v>44106.0</v>
      </c>
      <c r="I722" s="219" t="s">
        <v>1199</v>
      </c>
      <c r="J722" s="219" t="s">
        <v>223</v>
      </c>
      <c r="K722" s="219" t="s">
        <v>428</v>
      </c>
      <c r="L722" s="214" t="s">
        <v>435</v>
      </c>
      <c r="M722" s="222">
        <v>2020.0</v>
      </c>
      <c r="N722" s="214" t="s">
        <v>414</v>
      </c>
      <c r="O722" s="223">
        <v>4.0</v>
      </c>
      <c r="P722" s="224">
        <f t="shared" si="1"/>
        <v>0.2985493683</v>
      </c>
      <c r="Q722" s="214" t="str">
        <f t="shared" si="2"/>
        <v>Medium</v>
      </c>
    </row>
    <row r="723" ht="15.75" customHeight="1">
      <c r="A723" s="214" t="s">
        <v>1198</v>
      </c>
      <c r="B723" s="216">
        <v>2831.0</v>
      </c>
      <c r="C723" s="216">
        <v>1289.0</v>
      </c>
      <c r="D723" s="217">
        <v>12.0</v>
      </c>
      <c r="E723" s="219" t="s">
        <v>216</v>
      </c>
      <c r="F723" s="219" t="s">
        <v>359</v>
      </c>
      <c r="G723" s="214" t="s">
        <v>351</v>
      </c>
      <c r="H723" s="221">
        <v>44106.0</v>
      </c>
      <c r="I723" s="219" t="s">
        <v>1199</v>
      </c>
      <c r="J723" s="219" t="s">
        <v>223</v>
      </c>
      <c r="K723" s="219" t="s">
        <v>428</v>
      </c>
      <c r="L723" s="214" t="s">
        <v>435</v>
      </c>
      <c r="M723" s="222">
        <v>2020.0</v>
      </c>
      <c r="N723" s="214" t="s">
        <v>414</v>
      </c>
      <c r="O723" s="223">
        <v>4.0</v>
      </c>
      <c r="P723" s="224">
        <f t="shared" si="1"/>
        <v>0.4553161427</v>
      </c>
      <c r="Q723" s="214" t="str">
        <f t="shared" si="2"/>
        <v>Medium</v>
      </c>
    </row>
    <row r="724" ht="15.75" customHeight="1">
      <c r="A724" s="214" t="s">
        <v>1200</v>
      </c>
      <c r="B724" s="216">
        <v>3913.0</v>
      </c>
      <c r="C724" s="216">
        <v>961.0</v>
      </c>
      <c r="D724" s="217">
        <v>15.0</v>
      </c>
      <c r="E724" s="219" t="s">
        <v>216</v>
      </c>
      <c r="F724" s="219" t="s">
        <v>347</v>
      </c>
      <c r="G724" s="214" t="s">
        <v>392</v>
      </c>
      <c r="H724" s="221">
        <v>45332.0</v>
      </c>
      <c r="I724" s="219" t="s">
        <v>1201</v>
      </c>
      <c r="J724" s="219" t="s">
        <v>313</v>
      </c>
      <c r="K724" s="219" t="s">
        <v>512</v>
      </c>
      <c r="L724" s="214" t="s">
        <v>478</v>
      </c>
      <c r="M724" s="222">
        <v>2024.0</v>
      </c>
      <c r="N724" s="214" t="s">
        <v>494</v>
      </c>
      <c r="O724" s="223">
        <v>1.0</v>
      </c>
      <c r="P724" s="224">
        <f t="shared" si="1"/>
        <v>0.2455916177</v>
      </c>
      <c r="Q724" s="214" t="str">
        <f t="shared" si="2"/>
        <v>Medium</v>
      </c>
    </row>
    <row r="725" ht="15.75" customHeight="1">
      <c r="A725" s="214" t="s">
        <v>1200</v>
      </c>
      <c r="B725" s="216">
        <v>3913.0</v>
      </c>
      <c r="C725" s="216">
        <v>961.0</v>
      </c>
      <c r="D725" s="217">
        <v>15.0</v>
      </c>
      <c r="E725" s="219" t="s">
        <v>216</v>
      </c>
      <c r="F725" s="219" t="s">
        <v>347</v>
      </c>
      <c r="G725" s="214" t="s">
        <v>392</v>
      </c>
      <c r="H725" s="221">
        <v>44233.0</v>
      </c>
      <c r="I725" s="219" t="s">
        <v>1202</v>
      </c>
      <c r="J725" s="219" t="s">
        <v>117</v>
      </c>
      <c r="K725" s="219" t="s">
        <v>508</v>
      </c>
      <c r="L725" s="214" t="s">
        <v>439</v>
      </c>
      <c r="M725" s="222">
        <v>2021.0</v>
      </c>
      <c r="N725" s="214" t="s">
        <v>494</v>
      </c>
      <c r="O725" s="223">
        <v>1.0</v>
      </c>
      <c r="P725" s="224">
        <f t="shared" si="1"/>
        <v>0.2455916177</v>
      </c>
      <c r="Q725" s="214" t="str">
        <f t="shared" si="2"/>
        <v>Medium</v>
      </c>
    </row>
    <row r="726" ht="15.75" customHeight="1">
      <c r="A726" s="214" t="s">
        <v>1203</v>
      </c>
      <c r="B726" s="216">
        <v>4468.0</v>
      </c>
      <c r="C726" s="216">
        <v>1940.0</v>
      </c>
      <c r="D726" s="217">
        <v>9.0</v>
      </c>
      <c r="E726" s="219" t="s">
        <v>242</v>
      </c>
      <c r="F726" s="219" t="s">
        <v>357</v>
      </c>
      <c r="G726" s="214" t="s">
        <v>405</v>
      </c>
      <c r="H726" s="221">
        <v>44636.0</v>
      </c>
      <c r="I726" s="219" t="s">
        <v>1204</v>
      </c>
      <c r="J726" s="219" t="s">
        <v>159</v>
      </c>
      <c r="K726" s="219" t="s">
        <v>552</v>
      </c>
      <c r="L726" s="214" t="s">
        <v>455</v>
      </c>
      <c r="M726" s="222">
        <v>2022.0</v>
      </c>
      <c r="N726" s="214" t="s">
        <v>433</v>
      </c>
      <c r="O726" s="223">
        <v>1.0</v>
      </c>
      <c r="P726" s="224">
        <f t="shared" si="1"/>
        <v>0.4341987466</v>
      </c>
      <c r="Q726" s="214" t="str">
        <f t="shared" si="2"/>
        <v>Medium</v>
      </c>
    </row>
    <row r="727" ht="15.75" customHeight="1">
      <c r="A727" s="214" t="s">
        <v>1205</v>
      </c>
      <c r="B727" s="216">
        <v>1579.0</v>
      </c>
      <c r="C727" s="216">
        <v>602.0</v>
      </c>
      <c r="D727" s="217">
        <v>9.0</v>
      </c>
      <c r="E727" s="219" t="s">
        <v>157</v>
      </c>
      <c r="F727" s="219" t="s">
        <v>360</v>
      </c>
      <c r="G727" s="214" t="s">
        <v>350</v>
      </c>
      <c r="H727" s="221">
        <v>43975.0</v>
      </c>
      <c r="I727" s="219" t="s">
        <v>1206</v>
      </c>
      <c r="J727" s="219" t="s">
        <v>313</v>
      </c>
      <c r="K727" s="219" t="s">
        <v>518</v>
      </c>
      <c r="L727" s="214" t="s">
        <v>419</v>
      </c>
      <c r="M727" s="222">
        <v>2020.0</v>
      </c>
      <c r="N727" s="214" t="s">
        <v>411</v>
      </c>
      <c r="O727" s="223">
        <v>2.0</v>
      </c>
      <c r="P727" s="224">
        <f t="shared" si="1"/>
        <v>0.3812539582</v>
      </c>
      <c r="Q727" s="214" t="str">
        <f t="shared" si="2"/>
        <v>Medium</v>
      </c>
    </row>
    <row r="728" ht="15.75" customHeight="1">
      <c r="A728" s="214" t="s">
        <v>1205</v>
      </c>
      <c r="B728" s="216">
        <v>1579.0</v>
      </c>
      <c r="C728" s="216">
        <v>602.0</v>
      </c>
      <c r="D728" s="217">
        <v>9.0</v>
      </c>
      <c r="E728" s="219" t="s">
        <v>157</v>
      </c>
      <c r="F728" s="219" t="s">
        <v>360</v>
      </c>
      <c r="G728" s="214" t="s">
        <v>350</v>
      </c>
      <c r="H728" s="221">
        <v>45704.0</v>
      </c>
      <c r="I728" s="219" t="s">
        <v>1207</v>
      </c>
      <c r="J728" s="219" t="s">
        <v>241</v>
      </c>
      <c r="K728" s="219" t="s">
        <v>493</v>
      </c>
      <c r="L728" s="214" t="s">
        <v>488</v>
      </c>
      <c r="M728" s="222">
        <v>2025.0</v>
      </c>
      <c r="N728" s="214" t="s">
        <v>494</v>
      </c>
      <c r="O728" s="223">
        <v>1.0</v>
      </c>
      <c r="P728" s="224">
        <f t="shared" si="1"/>
        <v>0.3812539582</v>
      </c>
      <c r="Q728" s="214" t="str">
        <f t="shared" si="2"/>
        <v>Medium</v>
      </c>
    </row>
    <row r="729" ht="15.75" customHeight="1">
      <c r="A729" s="214" t="s">
        <v>1205</v>
      </c>
      <c r="B729" s="216">
        <v>1579.0</v>
      </c>
      <c r="C729" s="216">
        <v>602.0</v>
      </c>
      <c r="D729" s="217">
        <v>9.0</v>
      </c>
      <c r="E729" s="219" t="s">
        <v>157</v>
      </c>
      <c r="F729" s="219" t="s">
        <v>360</v>
      </c>
      <c r="G729" s="214" t="s">
        <v>350</v>
      </c>
      <c r="H729" s="221">
        <v>44516.0</v>
      </c>
      <c r="I729" s="219" t="s">
        <v>1208</v>
      </c>
      <c r="J729" s="219" t="s">
        <v>313</v>
      </c>
      <c r="K729" s="219" t="s">
        <v>518</v>
      </c>
      <c r="L729" s="214" t="s">
        <v>451</v>
      </c>
      <c r="M729" s="222">
        <v>2021.0</v>
      </c>
      <c r="N729" s="214" t="s">
        <v>425</v>
      </c>
      <c r="O729" s="223">
        <v>4.0</v>
      </c>
      <c r="P729" s="224">
        <f t="shared" si="1"/>
        <v>0.3812539582</v>
      </c>
      <c r="Q729" s="214" t="str">
        <f t="shared" si="2"/>
        <v>Medium</v>
      </c>
    </row>
    <row r="730" ht="15.75" customHeight="1">
      <c r="A730" s="214" t="s">
        <v>1205</v>
      </c>
      <c r="B730" s="216">
        <v>1579.0</v>
      </c>
      <c r="C730" s="216">
        <v>602.0</v>
      </c>
      <c r="D730" s="217">
        <v>9.0</v>
      </c>
      <c r="E730" s="219" t="s">
        <v>157</v>
      </c>
      <c r="F730" s="219" t="s">
        <v>360</v>
      </c>
      <c r="G730" s="214" t="s">
        <v>350</v>
      </c>
      <c r="H730" s="221">
        <v>45543.0</v>
      </c>
      <c r="I730" s="219" t="s">
        <v>1209</v>
      </c>
      <c r="J730" s="219" t="s">
        <v>223</v>
      </c>
      <c r="K730" s="219" t="s">
        <v>473</v>
      </c>
      <c r="L730" s="214" t="s">
        <v>484</v>
      </c>
      <c r="M730" s="222">
        <v>2024.0</v>
      </c>
      <c r="N730" s="214" t="s">
        <v>536</v>
      </c>
      <c r="O730" s="223">
        <v>3.0</v>
      </c>
      <c r="P730" s="224">
        <f t="shared" si="1"/>
        <v>0.3812539582</v>
      </c>
      <c r="Q730" s="214" t="str">
        <f t="shared" si="2"/>
        <v>Medium</v>
      </c>
    </row>
    <row r="731" ht="15.75" customHeight="1">
      <c r="A731" s="214" t="s">
        <v>1205</v>
      </c>
      <c r="B731" s="216">
        <v>3760.0</v>
      </c>
      <c r="C731" s="216">
        <v>1849.0</v>
      </c>
      <c r="D731" s="217">
        <v>19.0</v>
      </c>
      <c r="E731" s="219" t="s">
        <v>216</v>
      </c>
      <c r="F731" s="219" t="s">
        <v>359</v>
      </c>
      <c r="G731" s="214" t="s">
        <v>406</v>
      </c>
      <c r="H731" s="221">
        <v>43975.0</v>
      </c>
      <c r="I731" s="219" t="s">
        <v>1206</v>
      </c>
      <c r="J731" s="219" t="s">
        <v>313</v>
      </c>
      <c r="K731" s="219" t="s">
        <v>518</v>
      </c>
      <c r="L731" s="214" t="s">
        <v>419</v>
      </c>
      <c r="M731" s="222">
        <v>2020.0</v>
      </c>
      <c r="N731" s="214" t="s">
        <v>411</v>
      </c>
      <c r="O731" s="223">
        <v>2.0</v>
      </c>
      <c r="P731" s="224">
        <f t="shared" si="1"/>
        <v>0.4917553191</v>
      </c>
      <c r="Q731" s="214" t="str">
        <f t="shared" si="2"/>
        <v>Medium</v>
      </c>
    </row>
    <row r="732" ht="15.75" customHeight="1">
      <c r="A732" s="214" t="s">
        <v>1205</v>
      </c>
      <c r="B732" s="216">
        <v>3760.0</v>
      </c>
      <c r="C732" s="216">
        <v>1849.0</v>
      </c>
      <c r="D732" s="217">
        <v>19.0</v>
      </c>
      <c r="E732" s="219" t="s">
        <v>216</v>
      </c>
      <c r="F732" s="219" t="s">
        <v>359</v>
      </c>
      <c r="G732" s="214" t="s">
        <v>406</v>
      </c>
      <c r="H732" s="221">
        <v>45704.0</v>
      </c>
      <c r="I732" s="219" t="s">
        <v>1207</v>
      </c>
      <c r="J732" s="219" t="s">
        <v>241</v>
      </c>
      <c r="K732" s="219" t="s">
        <v>493</v>
      </c>
      <c r="L732" s="214" t="s">
        <v>488</v>
      </c>
      <c r="M732" s="222">
        <v>2025.0</v>
      </c>
      <c r="N732" s="214" t="s">
        <v>494</v>
      </c>
      <c r="O732" s="223">
        <v>1.0</v>
      </c>
      <c r="P732" s="224">
        <f t="shared" si="1"/>
        <v>0.4917553191</v>
      </c>
      <c r="Q732" s="214" t="str">
        <f t="shared" si="2"/>
        <v>Medium</v>
      </c>
    </row>
    <row r="733" ht="15.75" customHeight="1">
      <c r="A733" s="214" t="s">
        <v>1205</v>
      </c>
      <c r="B733" s="216">
        <v>3760.0</v>
      </c>
      <c r="C733" s="216">
        <v>1849.0</v>
      </c>
      <c r="D733" s="217">
        <v>19.0</v>
      </c>
      <c r="E733" s="219" t="s">
        <v>216</v>
      </c>
      <c r="F733" s="219" t="s">
        <v>359</v>
      </c>
      <c r="G733" s="214" t="s">
        <v>406</v>
      </c>
      <c r="H733" s="221">
        <v>44516.0</v>
      </c>
      <c r="I733" s="219" t="s">
        <v>1208</v>
      </c>
      <c r="J733" s="219" t="s">
        <v>313</v>
      </c>
      <c r="K733" s="219" t="s">
        <v>518</v>
      </c>
      <c r="L733" s="214" t="s">
        <v>451</v>
      </c>
      <c r="M733" s="222">
        <v>2021.0</v>
      </c>
      <c r="N733" s="214" t="s">
        <v>425</v>
      </c>
      <c r="O733" s="223">
        <v>4.0</v>
      </c>
      <c r="P733" s="224">
        <f t="shared" si="1"/>
        <v>0.4917553191</v>
      </c>
      <c r="Q733" s="214" t="str">
        <f t="shared" si="2"/>
        <v>Medium</v>
      </c>
    </row>
    <row r="734" ht="15.75" customHeight="1">
      <c r="A734" s="214" t="s">
        <v>1205</v>
      </c>
      <c r="B734" s="216">
        <v>3760.0</v>
      </c>
      <c r="C734" s="216">
        <v>1849.0</v>
      </c>
      <c r="D734" s="217">
        <v>19.0</v>
      </c>
      <c r="E734" s="219" t="s">
        <v>216</v>
      </c>
      <c r="F734" s="219" t="s">
        <v>359</v>
      </c>
      <c r="G734" s="214" t="s">
        <v>406</v>
      </c>
      <c r="H734" s="221">
        <v>45543.0</v>
      </c>
      <c r="I734" s="219" t="s">
        <v>1209</v>
      </c>
      <c r="J734" s="219" t="s">
        <v>223</v>
      </c>
      <c r="K734" s="219" t="s">
        <v>473</v>
      </c>
      <c r="L734" s="214" t="s">
        <v>484</v>
      </c>
      <c r="M734" s="222">
        <v>2024.0</v>
      </c>
      <c r="N734" s="214" t="s">
        <v>536</v>
      </c>
      <c r="O734" s="223">
        <v>3.0</v>
      </c>
      <c r="P734" s="224">
        <f t="shared" si="1"/>
        <v>0.4917553191</v>
      </c>
      <c r="Q734" s="214" t="str">
        <f t="shared" si="2"/>
        <v>Medium</v>
      </c>
    </row>
    <row r="735" ht="15.75" customHeight="1">
      <c r="A735" s="214" t="s">
        <v>1210</v>
      </c>
      <c r="B735" s="216">
        <v>8706.0</v>
      </c>
      <c r="C735" s="216">
        <v>3099.0</v>
      </c>
      <c r="D735" s="217">
        <v>14.0</v>
      </c>
      <c r="E735" s="219" t="s">
        <v>242</v>
      </c>
      <c r="F735" s="219" t="s">
        <v>356</v>
      </c>
      <c r="G735" s="214" t="s">
        <v>350</v>
      </c>
      <c r="H735" s="221">
        <v>44741.0</v>
      </c>
      <c r="I735" s="219" t="s">
        <v>1211</v>
      </c>
      <c r="J735" s="219" t="s">
        <v>271</v>
      </c>
      <c r="K735" s="219" t="s">
        <v>398</v>
      </c>
      <c r="L735" s="214" t="s">
        <v>458</v>
      </c>
      <c r="M735" s="222">
        <v>2022.0</v>
      </c>
      <c r="N735" s="214" t="s">
        <v>396</v>
      </c>
      <c r="O735" s="223">
        <v>2.0</v>
      </c>
      <c r="P735" s="224">
        <f t="shared" si="1"/>
        <v>0.3559614059</v>
      </c>
      <c r="Q735" s="214" t="str">
        <f t="shared" si="2"/>
        <v>High</v>
      </c>
    </row>
    <row r="736" ht="15.75" customHeight="1">
      <c r="A736" s="214" t="s">
        <v>1210</v>
      </c>
      <c r="B736" s="216">
        <v>4708.0</v>
      </c>
      <c r="C736" s="216">
        <v>696.0</v>
      </c>
      <c r="D736" s="217">
        <v>14.0</v>
      </c>
      <c r="E736" s="219" t="s">
        <v>157</v>
      </c>
      <c r="F736" s="219" t="s">
        <v>355</v>
      </c>
      <c r="G736" s="214" t="s">
        <v>350</v>
      </c>
      <c r="H736" s="221">
        <v>44741.0</v>
      </c>
      <c r="I736" s="219" t="s">
        <v>1211</v>
      </c>
      <c r="J736" s="219" t="s">
        <v>271</v>
      </c>
      <c r="K736" s="219" t="s">
        <v>398</v>
      </c>
      <c r="L736" s="214" t="s">
        <v>458</v>
      </c>
      <c r="M736" s="222">
        <v>2022.0</v>
      </c>
      <c r="N736" s="214" t="s">
        <v>396</v>
      </c>
      <c r="O736" s="223">
        <v>2.0</v>
      </c>
      <c r="P736" s="224">
        <f t="shared" si="1"/>
        <v>0.1478334749</v>
      </c>
      <c r="Q736" s="214" t="str">
        <f t="shared" si="2"/>
        <v>Medium</v>
      </c>
    </row>
    <row r="737" ht="15.75" customHeight="1">
      <c r="A737" s="214" t="s">
        <v>1210</v>
      </c>
      <c r="B737" s="216">
        <v>8089.0</v>
      </c>
      <c r="C737" s="216">
        <v>3132.0</v>
      </c>
      <c r="D737" s="217">
        <v>17.0</v>
      </c>
      <c r="E737" s="219" t="s">
        <v>216</v>
      </c>
      <c r="F737" s="219" t="s">
        <v>359</v>
      </c>
      <c r="G737" s="214" t="s">
        <v>405</v>
      </c>
      <c r="H737" s="221">
        <v>44741.0</v>
      </c>
      <c r="I737" s="219" t="s">
        <v>1211</v>
      </c>
      <c r="J737" s="219" t="s">
        <v>271</v>
      </c>
      <c r="K737" s="219" t="s">
        <v>398</v>
      </c>
      <c r="L737" s="214" t="s">
        <v>458</v>
      </c>
      <c r="M737" s="222">
        <v>2022.0</v>
      </c>
      <c r="N737" s="214" t="s">
        <v>396</v>
      </c>
      <c r="O737" s="223">
        <v>2.0</v>
      </c>
      <c r="P737" s="224">
        <f t="shared" si="1"/>
        <v>0.3871924836</v>
      </c>
      <c r="Q737" s="214" t="str">
        <f t="shared" si="2"/>
        <v>High</v>
      </c>
    </row>
    <row r="738" ht="15.75" customHeight="1">
      <c r="A738" s="214" t="s">
        <v>1212</v>
      </c>
      <c r="B738" s="216">
        <v>5462.0</v>
      </c>
      <c r="C738" s="216">
        <v>673.0</v>
      </c>
      <c r="D738" s="217">
        <v>12.0</v>
      </c>
      <c r="E738" s="219" t="s">
        <v>157</v>
      </c>
      <c r="F738" s="219" t="s">
        <v>354</v>
      </c>
      <c r="G738" s="214" t="s">
        <v>351</v>
      </c>
      <c r="H738" s="221">
        <v>44868.0</v>
      </c>
      <c r="I738" s="219" t="s">
        <v>1213</v>
      </c>
      <c r="J738" s="219" t="s">
        <v>241</v>
      </c>
      <c r="K738" s="219" t="s">
        <v>504</v>
      </c>
      <c r="L738" s="214" t="s">
        <v>424</v>
      </c>
      <c r="M738" s="222">
        <v>2022.0</v>
      </c>
      <c r="N738" s="214" t="s">
        <v>425</v>
      </c>
      <c r="O738" s="223">
        <v>4.0</v>
      </c>
      <c r="P738" s="224">
        <f t="shared" si="1"/>
        <v>0.1232149396</v>
      </c>
      <c r="Q738" s="214" t="str">
        <f t="shared" si="2"/>
        <v>High</v>
      </c>
    </row>
    <row r="739" ht="15.75" customHeight="1">
      <c r="A739" s="214" t="s">
        <v>1214</v>
      </c>
      <c r="B739" s="216">
        <v>6392.0</v>
      </c>
      <c r="C739" s="216">
        <v>444.0</v>
      </c>
      <c r="D739" s="217">
        <v>18.0</v>
      </c>
      <c r="E739" s="219" t="s">
        <v>157</v>
      </c>
      <c r="F739" s="219" t="s">
        <v>355</v>
      </c>
      <c r="G739" s="214" t="s">
        <v>350</v>
      </c>
      <c r="H739" s="221">
        <v>45258.0</v>
      </c>
      <c r="I739" s="219" t="s">
        <v>1215</v>
      </c>
      <c r="J739" s="219" t="s">
        <v>159</v>
      </c>
      <c r="K739" s="219" t="s">
        <v>552</v>
      </c>
      <c r="L739" s="214" t="s">
        <v>429</v>
      </c>
      <c r="M739" s="222">
        <v>2023.0</v>
      </c>
      <c r="N739" s="214" t="s">
        <v>425</v>
      </c>
      <c r="O739" s="223">
        <v>4.0</v>
      </c>
      <c r="P739" s="224">
        <f t="shared" si="1"/>
        <v>0.06946182728</v>
      </c>
      <c r="Q739" s="214" t="str">
        <f t="shared" si="2"/>
        <v>High</v>
      </c>
    </row>
    <row r="740" ht="15.75" customHeight="1">
      <c r="A740" s="214" t="s">
        <v>1216</v>
      </c>
      <c r="B740" s="216">
        <v>8706.0</v>
      </c>
      <c r="C740" s="216">
        <v>1724.0</v>
      </c>
      <c r="D740" s="217">
        <v>3.0</v>
      </c>
      <c r="E740" s="219" t="s">
        <v>157</v>
      </c>
      <c r="F740" s="219" t="s">
        <v>355</v>
      </c>
      <c r="G740" s="214" t="s">
        <v>351</v>
      </c>
      <c r="H740" s="221">
        <v>43946.0</v>
      </c>
      <c r="I740" s="219" t="s">
        <v>1217</v>
      </c>
      <c r="J740" s="219" t="s">
        <v>159</v>
      </c>
      <c r="K740" s="219" t="s">
        <v>409</v>
      </c>
      <c r="L740" s="214" t="s">
        <v>418</v>
      </c>
      <c r="M740" s="222">
        <v>2020.0</v>
      </c>
      <c r="N740" s="214" t="s">
        <v>542</v>
      </c>
      <c r="O740" s="223">
        <v>2.0</v>
      </c>
      <c r="P740" s="224">
        <f t="shared" si="1"/>
        <v>0.198024351</v>
      </c>
      <c r="Q740" s="214" t="str">
        <f t="shared" si="2"/>
        <v>High</v>
      </c>
    </row>
    <row r="741" ht="15.75" customHeight="1">
      <c r="A741" s="214" t="s">
        <v>1218</v>
      </c>
      <c r="B741" s="216">
        <v>2349.0</v>
      </c>
      <c r="C741" s="216">
        <v>319.0</v>
      </c>
      <c r="D741" s="217">
        <v>4.0</v>
      </c>
      <c r="E741" s="219" t="s">
        <v>242</v>
      </c>
      <c r="F741" s="219" t="s">
        <v>356</v>
      </c>
      <c r="G741" s="214" t="s">
        <v>392</v>
      </c>
      <c r="H741" s="221">
        <v>44579.0</v>
      </c>
      <c r="I741" s="219" t="s">
        <v>1219</v>
      </c>
      <c r="J741" s="219" t="s">
        <v>159</v>
      </c>
      <c r="K741" s="219" t="s">
        <v>394</v>
      </c>
      <c r="L741" s="214" t="s">
        <v>453</v>
      </c>
      <c r="M741" s="222">
        <v>2022.0</v>
      </c>
      <c r="N741" s="214" t="s">
        <v>497</v>
      </c>
      <c r="O741" s="223">
        <v>1.0</v>
      </c>
      <c r="P741" s="224">
        <f t="shared" si="1"/>
        <v>0.1358024691</v>
      </c>
      <c r="Q741" s="214" t="str">
        <f t="shared" si="2"/>
        <v>Medium</v>
      </c>
    </row>
    <row r="742" ht="15.75" customHeight="1">
      <c r="A742" s="214" t="s">
        <v>1218</v>
      </c>
      <c r="B742" s="216">
        <v>8220.0</v>
      </c>
      <c r="C742" s="216">
        <v>3882.0</v>
      </c>
      <c r="D742" s="217">
        <v>14.0</v>
      </c>
      <c r="E742" s="219" t="s">
        <v>216</v>
      </c>
      <c r="F742" s="219" t="s">
        <v>359</v>
      </c>
      <c r="G742" s="214" t="s">
        <v>392</v>
      </c>
      <c r="H742" s="221">
        <v>44579.0</v>
      </c>
      <c r="I742" s="219" t="s">
        <v>1219</v>
      </c>
      <c r="J742" s="219" t="s">
        <v>159</v>
      </c>
      <c r="K742" s="219" t="s">
        <v>394</v>
      </c>
      <c r="L742" s="214" t="s">
        <v>453</v>
      </c>
      <c r="M742" s="222">
        <v>2022.0</v>
      </c>
      <c r="N742" s="214" t="s">
        <v>497</v>
      </c>
      <c r="O742" s="223">
        <v>1.0</v>
      </c>
      <c r="P742" s="224">
        <f t="shared" si="1"/>
        <v>0.4722627737</v>
      </c>
      <c r="Q742" s="214" t="str">
        <f t="shared" si="2"/>
        <v>High</v>
      </c>
    </row>
    <row r="743" ht="15.75" customHeight="1">
      <c r="A743" s="214" t="s">
        <v>1218</v>
      </c>
      <c r="B743" s="216">
        <v>2379.0</v>
      </c>
      <c r="C743" s="216">
        <v>279.0</v>
      </c>
      <c r="D743" s="217">
        <v>7.0</v>
      </c>
      <c r="E743" s="219" t="s">
        <v>216</v>
      </c>
      <c r="F743" s="219" t="s">
        <v>359</v>
      </c>
      <c r="G743" s="214" t="s">
        <v>351</v>
      </c>
      <c r="H743" s="221">
        <v>44579.0</v>
      </c>
      <c r="I743" s="219" t="s">
        <v>1219</v>
      </c>
      <c r="J743" s="219" t="s">
        <v>159</v>
      </c>
      <c r="K743" s="219" t="s">
        <v>394</v>
      </c>
      <c r="L743" s="214" t="s">
        <v>453</v>
      </c>
      <c r="M743" s="222">
        <v>2022.0</v>
      </c>
      <c r="N743" s="214" t="s">
        <v>497</v>
      </c>
      <c r="O743" s="223">
        <v>1.0</v>
      </c>
      <c r="P743" s="224">
        <f t="shared" si="1"/>
        <v>0.1172761665</v>
      </c>
      <c r="Q743" s="214" t="str">
        <f t="shared" si="2"/>
        <v>Medium</v>
      </c>
    </row>
    <row r="744" ht="15.75" customHeight="1">
      <c r="A744" s="214" t="s">
        <v>1218</v>
      </c>
      <c r="B744" s="216">
        <v>7377.0</v>
      </c>
      <c r="C744" s="216">
        <v>2049.0</v>
      </c>
      <c r="D744" s="217">
        <v>4.0</v>
      </c>
      <c r="E744" s="219" t="s">
        <v>242</v>
      </c>
      <c r="F744" s="219" t="s">
        <v>317</v>
      </c>
      <c r="G744" s="214" t="s">
        <v>392</v>
      </c>
      <c r="H744" s="221">
        <v>44579.0</v>
      </c>
      <c r="I744" s="219" t="s">
        <v>1219</v>
      </c>
      <c r="J744" s="219" t="s">
        <v>159</v>
      </c>
      <c r="K744" s="219" t="s">
        <v>394</v>
      </c>
      <c r="L744" s="214" t="s">
        <v>453</v>
      </c>
      <c r="M744" s="222">
        <v>2022.0</v>
      </c>
      <c r="N744" s="214" t="s">
        <v>497</v>
      </c>
      <c r="O744" s="223">
        <v>1.0</v>
      </c>
      <c r="P744" s="224">
        <f t="shared" si="1"/>
        <v>0.277755185</v>
      </c>
      <c r="Q744" s="214" t="str">
        <f t="shared" si="2"/>
        <v>High</v>
      </c>
    </row>
    <row r="745" ht="15.75" customHeight="1">
      <c r="A745" s="214" t="s">
        <v>1220</v>
      </c>
      <c r="B745" s="216">
        <v>717.0</v>
      </c>
      <c r="C745" s="216">
        <v>158.0</v>
      </c>
      <c r="D745" s="217">
        <v>16.0</v>
      </c>
      <c r="E745" s="219" t="s">
        <v>216</v>
      </c>
      <c r="F745" s="219" t="s">
        <v>344</v>
      </c>
      <c r="G745" s="214" t="s">
        <v>350</v>
      </c>
      <c r="H745" s="221">
        <v>44643.0</v>
      </c>
      <c r="I745" s="219" t="s">
        <v>1221</v>
      </c>
      <c r="J745" s="219" t="s">
        <v>313</v>
      </c>
      <c r="K745" s="219" t="s">
        <v>526</v>
      </c>
      <c r="L745" s="214" t="s">
        <v>455</v>
      </c>
      <c r="M745" s="222">
        <v>2022.0</v>
      </c>
      <c r="N745" s="214" t="s">
        <v>433</v>
      </c>
      <c r="O745" s="223">
        <v>1.0</v>
      </c>
      <c r="P745" s="224">
        <f t="shared" si="1"/>
        <v>0.220362622</v>
      </c>
      <c r="Q745" s="214" t="str">
        <f t="shared" si="2"/>
        <v>Medium</v>
      </c>
    </row>
    <row r="746" ht="15.75" customHeight="1">
      <c r="A746" s="214" t="s">
        <v>1220</v>
      </c>
      <c r="B746" s="216">
        <v>717.0</v>
      </c>
      <c r="C746" s="216">
        <v>158.0</v>
      </c>
      <c r="D746" s="217">
        <v>16.0</v>
      </c>
      <c r="E746" s="219" t="s">
        <v>216</v>
      </c>
      <c r="F746" s="219" t="s">
        <v>344</v>
      </c>
      <c r="G746" s="214" t="s">
        <v>350</v>
      </c>
      <c r="H746" s="221">
        <v>44006.0</v>
      </c>
      <c r="I746" s="219" t="s">
        <v>1222</v>
      </c>
      <c r="J746" s="219" t="s">
        <v>159</v>
      </c>
      <c r="K746" s="219" t="s">
        <v>394</v>
      </c>
      <c r="L746" s="214" t="s">
        <v>421</v>
      </c>
      <c r="M746" s="222">
        <v>2020.0</v>
      </c>
      <c r="N746" s="214" t="s">
        <v>396</v>
      </c>
      <c r="O746" s="223">
        <v>2.0</v>
      </c>
      <c r="P746" s="224">
        <f t="shared" si="1"/>
        <v>0.220362622</v>
      </c>
      <c r="Q746" s="214" t="str">
        <f t="shared" si="2"/>
        <v>Medium</v>
      </c>
    </row>
    <row r="747" ht="15.75" customHeight="1">
      <c r="A747" s="214" t="s">
        <v>1220</v>
      </c>
      <c r="B747" s="216">
        <v>717.0</v>
      </c>
      <c r="C747" s="216">
        <v>158.0</v>
      </c>
      <c r="D747" s="217">
        <v>16.0</v>
      </c>
      <c r="E747" s="219" t="s">
        <v>216</v>
      </c>
      <c r="F747" s="219" t="s">
        <v>344</v>
      </c>
      <c r="G747" s="214" t="s">
        <v>350</v>
      </c>
      <c r="H747" s="221">
        <v>44918.0</v>
      </c>
      <c r="I747" s="219" t="s">
        <v>1223</v>
      </c>
      <c r="J747" s="219" t="s">
        <v>223</v>
      </c>
      <c r="K747" s="219" t="s">
        <v>402</v>
      </c>
      <c r="L747" s="214" t="s">
        <v>464</v>
      </c>
      <c r="M747" s="222">
        <v>2022.0</v>
      </c>
      <c r="N747" s="214" t="s">
        <v>400</v>
      </c>
      <c r="O747" s="223">
        <v>4.0</v>
      </c>
      <c r="P747" s="224">
        <f t="shared" si="1"/>
        <v>0.220362622</v>
      </c>
      <c r="Q747" s="214" t="str">
        <f t="shared" si="2"/>
        <v>Medium</v>
      </c>
    </row>
    <row r="748" ht="15.75" customHeight="1">
      <c r="A748" s="214" t="s">
        <v>1220</v>
      </c>
      <c r="B748" s="216">
        <v>717.0</v>
      </c>
      <c r="C748" s="216">
        <v>158.0</v>
      </c>
      <c r="D748" s="217">
        <v>16.0</v>
      </c>
      <c r="E748" s="219" t="s">
        <v>216</v>
      </c>
      <c r="F748" s="219" t="s">
        <v>344</v>
      </c>
      <c r="G748" s="214" t="s">
        <v>350</v>
      </c>
      <c r="H748" s="221">
        <v>45620.0</v>
      </c>
      <c r="I748" s="219" t="s">
        <v>1224</v>
      </c>
      <c r="J748" s="219" t="s">
        <v>223</v>
      </c>
      <c r="K748" s="219" t="s">
        <v>428</v>
      </c>
      <c r="L748" s="214" t="s">
        <v>486</v>
      </c>
      <c r="M748" s="222">
        <v>2024.0</v>
      </c>
      <c r="N748" s="214" t="s">
        <v>425</v>
      </c>
      <c r="O748" s="223">
        <v>4.0</v>
      </c>
      <c r="P748" s="224">
        <f t="shared" si="1"/>
        <v>0.220362622</v>
      </c>
      <c r="Q748" s="214" t="str">
        <f t="shared" si="2"/>
        <v>Medium</v>
      </c>
    </row>
    <row r="749" ht="15.75" customHeight="1">
      <c r="A749" s="214" t="s">
        <v>1220</v>
      </c>
      <c r="B749" s="216">
        <v>717.0</v>
      </c>
      <c r="C749" s="216">
        <v>158.0</v>
      </c>
      <c r="D749" s="217">
        <v>16.0</v>
      </c>
      <c r="E749" s="219" t="s">
        <v>216</v>
      </c>
      <c r="F749" s="219" t="s">
        <v>344</v>
      </c>
      <c r="G749" s="214" t="s">
        <v>350</v>
      </c>
      <c r="H749" s="221">
        <v>44141.0</v>
      </c>
      <c r="I749" s="219" t="s">
        <v>1225</v>
      </c>
      <c r="J749" s="219" t="s">
        <v>159</v>
      </c>
      <c r="K749" s="219" t="s">
        <v>409</v>
      </c>
      <c r="L749" s="214" t="s">
        <v>436</v>
      </c>
      <c r="M749" s="222">
        <v>2020.0</v>
      </c>
      <c r="N749" s="214" t="s">
        <v>425</v>
      </c>
      <c r="O749" s="223">
        <v>4.0</v>
      </c>
      <c r="P749" s="224">
        <f t="shared" si="1"/>
        <v>0.220362622</v>
      </c>
      <c r="Q749" s="214" t="str">
        <f t="shared" si="2"/>
        <v>Medium</v>
      </c>
    </row>
    <row r="750" ht="15.75" customHeight="1">
      <c r="A750" s="214" t="s">
        <v>1220</v>
      </c>
      <c r="B750" s="216">
        <v>717.0</v>
      </c>
      <c r="C750" s="216">
        <v>158.0</v>
      </c>
      <c r="D750" s="217">
        <v>16.0</v>
      </c>
      <c r="E750" s="219" t="s">
        <v>216</v>
      </c>
      <c r="F750" s="219" t="s">
        <v>344</v>
      </c>
      <c r="G750" s="214" t="s">
        <v>350</v>
      </c>
      <c r="H750" s="221">
        <v>45223.0</v>
      </c>
      <c r="I750" s="219" t="s">
        <v>1226</v>
      </c>
      <c r="J750" s="219" t="s">
        <v>223</v>
      </c>
      <c r="K750" s="219" t="s">
        <v>473</v>
      </c>
      <c r="L750" s="214" t="s">
        <v>475</v>
      </c>
      <c r="M750" s="222">
        <v>2023.0</v>
      </c>
      <c r="N750" s="214" t="s">
        <v>414</v>
      </c>
      <c r="O750" s="223">
        <v>4.0</v>
      </c>
      <c r="P750" s="224">
        <f t="shared" si="1"/>
        <v>0.220362622</v>
      </c>
      <c r="Q750" s="214" t="str">
        <f t="shared" si="2"/>
        <v>Medium</v>
      </c>
    </row>
    <row r="751" ht="15.75" customHeight="1">
      <c r="A751" s="214" t="s">
        <v>1220</v>
      </c>
      <c r="B751" s="216">
        <v>508.0</v>
      </c>
      <c r="C751" s="216">
        <v>177.0</v>
      </c>
      <c r="D751" s="217">
        <v>17.0</v>
      </c>
      <c r="E751" s="219" t="s">
        <v>216</v>
      </c>
      <c r="F751" s="219" t="s">
        <v>347</v>
      </c>
      <c r="G751" s="214" t="s">
        <v>392</v>
      </c>
      <c r="H751" s="221">
        <v>44643.0</v>
      </c>
      <c r="I751" s="219" t="s">
        <v>1221</v>
      </c>
      <c r="J751" s="219" t="s">
        <v>313</v>
      </c>
      <c r="K751" s="219" t="s">
        <v>526</v>
      </c>
      <c r="L751" s="214" t="s">
        <v>455</v>
      </c>
      <c r="M751" s="222">
        <v>2022.0</v>
      </c>
      <c r="N751" s="214" t="s">
        <v>433</v>
      </c>
      <c r="O751" s="223">
        <v>1.0</v>
      </c>
      <c r="P751" s="224">
        <f t="shared" si="1"/>
        <v>0.3484251969</v>
      </c>
      <c r="Q751" s="214" t="str">
        <f t="shared" si="2"/>
        <v>Medium</v>
      </c>
    </row>
    <row r="752" ht="15.75" customHeight="1">
      <c r="A752" s="214" t="s">
        <v>1220</v>
      </c>
      <c r="B752" s="216">
        <v>508.0</v>
      </c>
      <c r="C752" s="216">
        <v>177.0</v>
      </c>
      <c r="D752" s="217">
        <v>17.0</v>
      </c>
      <c r="E752" s="219" t="s">
        <v>216</v>
      </c>
      <c r="F752" s="219" t="s">
        <v>347</v>
      </c>
      <c r="G752" s="214" t="s">
        <v>392</v>
      </c>
      <c r="H752" s="221">
        <v>44006.0</v>
      </c>
      <c r="I752" s="219" t="s">
        <v>1222</v>
      </c>
      <c r="J752" s="219" t="s">
        <v>159</v>
      </c>
      <c r="K752" s="219" t="s">
        <v>394</v>
      </c>
      <c r="L752" s="214" t="s">
        <v>421</v>
      </c>
      <c r="M752" s="222">
        <v>2020.0</v>
      </c>
      <c r="N752" s="214" t="s">
        <v>396</v>
      </c>
      <c r="O752" s="223">
        <v>2.0</v>
      </c>
      <c r="P752" s="224">
        <f t="shared" si="1"/>
        <v>0.3484251969</v>
      </c>
      <c r="Q752" s="214" t="str">
        <f t="shared" si="2"/>
        <v>Medium</v>
      </c>
    </row>
    <row r="753" ht="15.75" customHeight="1">
      <c r="A753" s="214" t="s">
        <v>1220</v>
      </c>
      <c r="B753" s="216">
        <v>508.0</v>
      </c>
      <c r="C753" s="216">
        <v>177.0</v>
      </c>
      <c r="D753" s="217">
        <v>17.0</v>
      </c>
      <c r="E753" s="219" t="s">
        <v>216</v>
      </c>
      <c r="F753" s="219" t="s">
        <v>347</v>
      </c>
      <c r="G753" s="214" t="s">
        <v>392</v>
      </c>
      <c r="H753" s="221">
        <v>44918.0</v>
      </c>
      <c r="I753" s="219" t="s">
        <v>1223</v>
      </c>
      <c r="J753" s="219" t="s">
        <v>223</v>
      </c>
      <c r="K753" s="219" t="s">
        <v>402</v>
      </c>
      <c r="L753" s="214" t="s">
        <v>464</v>
      </c>
      <c r="M753" s="222">
        <v>2022.0</v>
      </c>
      <c r="N753" s="214" t="s">
        <v>400</v>
      </c>
      <c r="O753" s="223">
        <v>4.0</v>
      </c>
      <c r="P753" s="224">
        <f t="shared" si="1"/>
        <v>0.3484251969</v>
      </c>
      <c r="Q753" s="214" t="str">
        <f t="shared" si="2"/>
        <v>Medium</v>
      </c>
    </row>
    <row r="754" ht="15.75" customHeight="1">
      <c r="A754" s="214" t="s">
        <v>1220</v>
      </c>
      <c r="B754" s="216">
        <v>508.0</v>
      </c>
      <c r="C754" s="216">
        <v>177.0</v>
      </c>
      <c r="D754" s="217">
        <v>17.0</v>
      </c>
      <c r="E754" s="219" t="s">
        <v>216</v>
      </c>
      <c r="F754" s="219" t="s">
        <v>347</v>
      </c>
      <c r="G754" s="214" t="s">
        <v>392</v>
      </c>
      <c r="H754" s="221">
        <v>45620.0</v>
      </c>
      <c r="I754" s="219" t="s">
        <v>1224</v>
      </c>
      <c r="J754" s="219" t="s">
        <v>223</v>
      </c>
      <c r="K754" s="219" t="s">
        <v>428</v>
      </c>
      <c r="L754" s="214" t="s">
        <v>486</v>
      </c>
      <c r="M754" s="222">
        <v>2024.0</v>
      </c>
      <c r="N754" s="214" t="s">
        <v>425</v>
      </c>
      <c r="O754" s="223">
        <v>4.0</v>
      </c>
      <c r="P754" s="224">
        <f t="shared" si="1"/>
        <v>0.3484251969</v>
      </c>
      <c r="Q754" s="214" t="str">
        <f t="shared" si="2"/>
        <v>Medium</v>
      </c>
    </row>
    <row r="755" ht="15.75" customHeight="1">
      <c r="A755" s="214" t="s">
        <v>1220</v>
      </c>
      <c r="B755" s="216">
        <v>508.0</v>
      </c>
      <c r="C755" s="216">
        <v>177.0</v>
      </c>
      <c r="D755" s="217">
        <v>17.0</v>
      </c>
      <c r="E755" s="219" t="s">
        <v>216</v>
      </c>
      <c r="F755" s="219" t="s">
        <v>347</v>
      </c>
      <c r="G755" s="214" t="s">
        <v>392</v>
      </c>
      <c r="H755" s="221">
        <v>44141.0</v>
      </c>
      <c r="I755" s="219" t="s">
        <v>1225</v>
      </c>
      <c r="J755" s="219" t="s">
        <v>159</v>
      </c>
      <c r="K755" s="219" t="s">
        <v>409</v>
      </c>
      <c r="L755" s="214" t="s">
        <v>436</v>
      </c>
      <c r="M755" s="222">
        <v>2020.0</v>
      </c>
      <c r="N755" s="214" t="s">
        <v>425</v>
      </c>
      <c r="O755" s="223">
        <v>4.0</v>
      </c>
      <c r="P755" s="224">
        <f t="shared" si="1"/>
        <v>0.3484251969</v>
      </c>
      <c r="Q755" s="214" t="str">
        <f t="shared" si="2"/>
        <v>Medium</v>
      </c>
    </row>
    <row r="756" ht="15.75" customHeight="1">
      <c r="A756" s="214" t="s">
        <v>1220</v>
      </c>
      <c r="B756" s="216">
        <v>508.0</v>
      </c>
      <c r="C756" s="216">
        <v>177.0</v>
      </c>
      <c r="D756" s="217">
        <v>17.0</v>
      </c>
      <c r="E756" s="219" t="s">
        <v>216</v>
      </c>
      <c r="F756" s="219" t="s">
        <v>347</v>
      </c>
      <c r="G756" s="214" t="s">
        <v>392</v>
      </c>
      <c r="H756" s="221">
        <v>45223.0</v>
      </c>
      <c r="I756" s="219" t="s">
        <v>1226</v>
      </c>
      <c r="J756" s="219" t="s">
        <v>223</v>
      </c>
      <c r="K756" s="219" t="s">
        <v>473</v>
      </c>
      <c r="L756" s="214" t="s">
        <v>475</v>
      </c>
      <c r="M756" s="222">
        <v>2023.0</v>
      </c>
      <c r="N756" s="214" t="s">
        <v>414</v>
      </c>
      <c r="O756" s="223">
        <v>4.0</v>
      </c>
      <c r="P756" s="224">
        <f t="shared" si="1"/>
        <v>0.3484251969</v>
      </c>
      <c r="Q756" s="214" t="str">
        <f t="shared" si="2"/>
        <v>Medium</v>
      </c>
    </row>
    <row r="757" ht="15.75" customHeight="1">
      <c r="A757" s="214" t="s">
        <v>1227</v>
      </c>
      <c r="B757" s="216">
        <v>9382.0</v>
      </c>
      <c r="C757" s="216">
        <v>1085.0</v>
      </c>
      <c r="D757" s="217">
        <v>3.0</v>
      </c>
      <c r="E757" s="219" t="s">
        <v>157</v>
      </c>
      <c r="F757" s="219" t="s">
        <v>354</v>
      </c>
      <c r="G757" s="214" t="s">
        <v>351</v>
      </c>
      <c r="H757" s="221">
        <v>45125.0</v>
      </c>
      <c r="I757" s="219" t="s">
        <v>1228</v>
      </c>
      <c r="J757" s="219" t="s">
        <v>271</v>
      </c>
      <c r="K757" s="219" t="s">
        <v>398</v>
      </c>
      <c r="L757" s="214" t="s">
        <v>471</v>
      </c>
      <c r="M757" s="222">
        <v>2023.0</v>
      </c>
      <c r="N757" s="214" t="s">
        <v>404</v>
      </c>
      <c r="O757" s="223">
        <v>3.0</v>
      </c>
      <c r="P757" s="224">
        <f t="shared" si="1"/>
        <v>0.1156469836</v>
      </c>
      <c r="Q757" s="214" t="str">
        <f t="shared" si="2"/>
        <v>High</v>
      </c>
    </row>
    <row r="758" ht="15.75" customHeight="1">
      <c r="A758" s="214" t="s">
        <v>1227</v>
      </c>
      <c r="B758" s="216">
        <v>9382.0</v>
      </c>
      <c r="C758" s="216">
        <v>1085.0</v>
      </c>
      <c r="D758" s="217">
        <v>3.0</v>
      </c>
      <c r="E758" s="219" t="s">
        <v>157</v>
      </c>
      <c r="F758" s="219" t="s">
        <v>354</v>
      </c>
      <c r="G758" s="214" t="s">
        <v>351</v>
      </c>
      <c r="H758" s="221">
        <v>44697.0</v>
      </c>
      <c r="I758" s="219" t="s">
        <v>1229</v>
      </c>
      <c r="J758" s="219" t="s">
        <v>223</v>
      </c>
      <c r="K758" s="219" t="s">
        <v>473</v>
      </c>
      <c r="L758" s="214" t="s">
        <v>457</v>
      </c>
      <c r="M758" s="222">
        <v>2022.0</v>
      </c>
      <c r="N758" s="214" t="s">
        <v>411</v>
      </c>
      <c r="O758" s="223">
        <v>2.0</v>
      </c>
      <c r="P758" s="224">
        <f t="shared" si="1"/>
        <v>0.1156469836</v>
      </c>
      <c r="Q758" s="214" t="str">
        <f t="shared" si="2"/>
        <v>High</v>
      </c>
    </row>
    <row r="759" ht="15.75" customHeight="1">
      <c r="A759" s="214" t="s">
        <v>1227</v>
      </c>
      <c r="B759" s="216">
        <v>4936.0</v>
      </c>
      <c r="C759" s="216">
        <v>576.0</v>
      </c>
      <c r="D759" s="217">
        <v>19.0</v>
      </c>
      <c r="E759" s="219" t="s">
        <v>216</v>
      </c>
      <c r="F759" s="219" t="s">
        <v>344</v>
      </c>
      <c r="G759" s="214" t="s">
        <v>405</v>
      </c>
      <c r="H759" s="221">
        <v>45125.0</v>
      </c>
      <c r="I759" s="219" t="s">
        <v>1228</v>
      </c>
      <c r="J759" s="219" t="s">
        <v>271</v>
      </c>
      <c r="K759" s="219" t="s">
        <v>398</v>
      </c>
      <c r="L759" s="214" t="s">
        <v>471</v>
      </c>
      <c r="M759" s="222">
        <v>2023.0</v>
      </c>
      <c r="N759" s="214" t="s">
        <v>404</v>
      </c>
      <c r="O759" s="223">
        <v>3.0</v>
      </c>
      <c r="P759" s="224">
        <f t="shared" si="1"/>
        <v>0.1166936791</v>
      </c>
      <c r="Q759" s="214" t="str">
        <f t="shared" si="2"/>
        <v>Medium</v>
      </c>
    </row>
    <row r="760" ht="15.75" customHeight="1">
      <c r="A760" s="214" t="s">
        <v>1227</v>
      </c>
      <c r="B760" s="216">
        <v>4936.0</v>
      </c>
      <c r="C760" s="216">
        <v>576.0</v>
      </c>
      <c r="D760" s="217">
        <v>19.0</v>
      </c>
      <c r="E760" s="219" t="s">
        <v>216</v>
      </c>
      <c r="F760" s="219" t="s">
        <v>344</v>
      </c>
      <c r="G760" s="214" t="s">
        <v>405</v>
      </c>
      <c r="H760" s="221">
        <v>44697.0</v>
      </c>
      <c r="I760" s="219" t="s">
        <v>1229</v>
      </c>
      <c r="J760" s="219" t="s">
        <v>223</v>
      </c>
      <c r="K760" s="219" t="s">
        <v>473</v>
      </c>
      <c r="L760" s="214" t="s">
        <v>457</v>
      </c>
      <c r="M760" s="222">
        <v>2022.0</v>
      </c>
      <c r="N760" s="214" t="s">
        <v>411</v>
      </c>
      <c r="O760" s="223">
        <v>2.0</v>
      </c>
      <c r="P760" s="224">
        <f t="shared" si="1"/>
        <v>0.1166936791</v>
      </c>
      <c r="Q760" s="214" t="str">
        <f t="shared" si="2"/>
        <v>Medium</v>
      </c>
    </row>
    <row r="761" ht="15.75" customHeight="1">
      <c r="A761" s="214" t="s">
        <v>1230</v>
      </c>
      <c r="B761" s="216">
        <v>2663.0</v>
      </c>
      <c r="C761" s="216">
        <v>64.0</v>
      </c>
      <c r="D761" s="217">
        <v>19.0</v>
      </c>
      <c r="E761" s="219" t="s">
        <v>216</v>
      </c>
      <c r="F761" s="219" t="s">
        <v>347</v>
      </c>
      <c r="G761" s="214" t="s">
        <v>405</v>
      </c>
      <c r="H761" s="221">
        <v>45459.0</v>
      </c>
      <c r="I761" s="219" t="s">
        <v>1231</v>
      </c>
      <c r="J761" s="219" t="s">
        <v>117</v>
      </c>
      <c r="K761" s="219" t="s">
        <v>508</v>
      </c>
      <c r="L761" s="214" t="s">
        <v>481</v>
      </c>
      <c r="M761" s="222">
        <v>2024.0</v>
      </c>
      <c r="N761" s="214" t="s">
        <v>396</v>
      </c>
      <c r="O761" s="223">
        <v>2.0</v>
      </c>
      <c r="P761" s="224">
        <f t="shared" si="1"/>
        <v>0.02403304544</v>
      </c>
      <c r="Q761" s="214" t="str">
        <f t="shared" si="2"/>
        <v>Medium</v>
      </c>
    </row>
    <row r="762" ht="15.75" customHeight="1">
      <c r="A762" s="214" t="s">
        <v>1230</v>
      </c>
      <c r="B762" s="216">
        <v>2663.0</v>
      </c>
      <c r="C762" s="216">
        <v>64.0</v>
      </c>
      <c r="D762" s="217">
        <v>19.0</v>
      </c>
      <c r="E762" s="219" t="s">
        <v>216</v>
      </c>
      <c r="F762" s="219" t="s">
        <v>347</v>
      </c>
      <c r="G762" s="214" t="s">
        <v>405</v>
      </c>
      <c r="H762" s="221">
        <v>44492.0</v>
      </c>
      <c r="I762" s="219" t="s">
        <v>1232</v>
      </c>
      <c r="J762" s="219" t="s">
        <v>313</v>
      </c>
      <c r="K762" s="219" t="s">
        <v>526</v>
      </c>
      <c r="L762" s="214" t="s">
        <v>413</v>
      </c>
      <c r="M762" s="222">
        <v>2021.0</v>
      </c>
      <c r="N762" s="214" t="s">
        <v>414</v>
      </c>
      <c r="O762" s="223">
        <v>4.0</v>
      </c>
      <c r="P762" s="224">
        <f t="shared" si="1"/>
        <v>0.02403304544</v>
      </c>
      <c r="Q762" s="214" t="str">
        <f t="shared" si="2"/>
        <v>Medium</v>
      </c>
    </row>
    <row r="763" ht="15.75" customHeight="1">
      <c r="A763" s="214" t="s">
        <v>1233</v>
      </c>
      <c r="B763" s="216">
        <v>5151.0</v>
      </c>
      <c r="C763" s="216">
        <v>1680.0</v>
      </c>
      <c r="D763" s="217">
        <v>5.0</v>
      </c>
      <c r="E763" s="219" t="s">
        <v>157</v>
      </c>
      <c r="F763" s="219" t="s">
        <v>354</v>
      </c>
      <c r="G763" s="214" t="s">
        <v>406</v>
      </c>
      <c r="H763" s="221">
        <v>44856.0</v>
      </c>
      <c r="I763" s="219" t="s">
        <v>1234</v>
      </c>
      <c r="J763" s="219" t="s">
        <v>241</v>
      </c>
      <c r="K763" s="219" t="s">
        <v>541</v>
      </c>
      <c r="L763" s="214" t="s">
        <v>463</v>
      </c>
      <c r="M763" s="222">
        <v>2022.0</v>
      </c>
      <c r="N763" s="214" t="s">
        <v>414</v>
      </c>
      <c r="O763" s="223">
        <v>4.0</v>
      </c>
      <c r="P763" s="224">
        <f t="shared" si="1"/>
        <v>0.3261502621</v>
      </c>
      <c r="Q763" s="214" t="str">
        <f t="shared" si="2"/>
        <v>High</v>
      </c>
    </row>
    <row r="764" ht="15.75" customHeight="1">
      <c r="A764" s="214" t="s">
        <v>1235</v>
      </c>
      <c r="B764" s="216">
        <v>2514.0</v>
      </c>
      <c r="C764" s="216">
        <v>95.0</v>
      </c>
      <c r="D764" s="217">
        <v>8.0</v>
      </c>
      <c r="E764" s="219" t="s">
        <v>242</v>
      </c>
      <c r="F764" s="219" t="s">
        <v>356</v>
      </c>
      <c r="G764" s="214" t="s">
        <v>392</v>
      </c>
      <c r="H764" s="221">
        <v>45124.0</v>
      </c>
      <c r="I764" s="219" t="s">
        <v>1236</v>
      </c>
      <c r="J764" s="219" t="s">
        <v>223</v>
      </c>
      <c r="K764" s="219" t="s">
        <v>473</v>
      </c>
      <c r="L764" s="214" t="s">
        <v>471</v>
      </c>
      <c r="M764" s="222">
        <v>2023.0</v>
      </c>
      <c r="N764" s="214" t="s">
        <v>404</v>
      </c>
      <c r="O764" s="223">
        <v>3.0</v>
      </c>
      <c r="P764" s="224">
        <f t="shared" si="1"/>
        <v>0.03778838504</v>
      </c>
      <c r="Q764" s="214" t="str">
        <f t="shared" si="2"/>
        <v>Medium</v>
      </c>
    </row>
    <row r="765" ht="15.75" customHeight="1">
      <c r="A765" s="214" t="s">
        <v>1237</v>
      </c>
      <c r="B765" s="216">
        <v>6129.0</v>
      </c>
      <c r="C765" s="216">
        <v>2976.0</v>
      </c>
      <c r="D765" s="217">
        <v>2.0</v>
      </c>
      <c r="E765" s="219" t="s">
        <v>157</v>
      </c>
      <c r="F765" s="219" t="s">
        <v>360</v>
      </c>
      <c r="G765" s="214" t="s">
        <v>406</v>
      </c>
      <c r="H765" s="221">
        <v>45712.0</v>
      </c>
      <c r="I765" s="219" t="s">
        <v>1238</v>
      </c>
      <c r="J765" s="219" t="s">
        <v>223</v>
      </c>
      <c r="K765" s="219" t="s">
        <v>428</v>
      </c>
      <c r="L765" s="214" t="s">
        <v>488</v>
      </c>
      <c r="M765" s="222">
        <v>2025.0</v>
      </c>
      <c r="N765" s="214" t="s">
        <v>494</v>
      </c>
      <c r="O765" s="223">
        <v>1.0</v>
      </c>
      <c r="P765" s="224">
        <f t="shared" si="1"/>
        <v>0.4855604503</v>
      </c>
      <c r="Q765" s="214" t="str">
        <f t="shared" si="2"/>
        <v>High</v>
      </c>
    </row>
    <row r="766" ht="15.75" customHeight="1">
      <c r="A766" s="214" t="s">
        <v>1237</v>
      </c>
      <c r="B766" s="216">
        <v>4395.0</v>
      </c>
      <c r="C766" s="216">
        <v>1663.0</v>
      </c>
      <c r="D766" s="217">
        <v>3.0</v>
      </c>
      <c r="E766" s="219" t="s">
        <v>216</v>
      </c>
      <c r="F766" s="219" t="s">
        <v>361</v>
      </c>
      <c r="G766" s="214" t="s">
        <v>405</v>
      </c>
      <c r="H766" s="221">
        <v>45712.0</v>
      </c>
      <c r="I766" s="219" t="s">
        <v>1238</v>
      </c>
      <c r="J766" s="219" t="s">
        <v>223</v>
      </c>
      <c r="K766" s="219" t="s">
        <v>428</v>
      </c>
      <c r="L766" s="214" t="s">
        <v>488</v>
      </c>
      <c r="M766" s="222">
        <v>2025.0</v>
      </c>
      <c r="N766" s="214" t="s">
        <v>494</v>
      </c>
      <c r="O766" s="223">
        <v>1.0</v>
      </c>
      <c r="P766" s="224">
        <f t="shared" si="1"/>
        <v>0.3783845279</v>
      </c>
      <c r="Q766" s="214" t="str">
        <f t="shared" si="2"/>
        <v>Medium</v>
      </c>
    </row>
    <row r="767" ht="15.75" customHeight="1">
      <c r="A767" s="214" t="s">
        <v>1239</v>
      </c>
      <c r="B767" s="216">
        <v>5393.0</v>
      </c>
      <c r="C767" s="216">
        <v>2642.0</v>
      </c>
      <c r="D767" s="217">
        <v>8.0</v>
      </c>
      <c r="E767" s="219" t="s">
        <v>216</v>
      </c>
      <c r="F767" s="219" t="s">
        <v>359</v>
      </c>
      <c r="G767" s="214" t="s">
        <v>392</v>
      </c>
      <c r="H767" s="221">
        <v>44262.0</v>
      </c>
      <c r="I767" s="219" t="s">
        <v>1240</v>
      </c>
      <c r="J767" s="219" t="s">
        <v>313</v>
      </c>
      <c r="K767" s="219" t="s">
        <v>518</v>
      </c>
      <c r="L767" s="214" t="s">
        <v>440</v>
      </c>
      <c r="M767" s="222">
        <v>2021.0</v>
      </c>
      <c r="N767" s="214" t="s">
        <v>433</v>
      </c>
      <c r="O767" s="223">
        <v>1.0</v>
      </c>
      <c r="P767" s="224">
        <f t="shared" si="1"/>
        <v>0.4898943074</v>
      </c>
      <c r="Q767" s="214" t="str">
        <f t="shared" si="2"/>
        <v>High</v>
      </c>
    </row>
    <row r="768" ht="15.75" customHeight="1">
      <c r="A768" s="214" t="s">
        <v>1241</v>
      </c>
      <c r="B768" s="216">
        <v>2280.0</v>
      </c>
      <c r="C768" s="216">
        <v>509.0</v>
      </c>
      <c r="D768" s="217">
        <v>8.0</v>
      </c>
      <c r="E768" s="219" t="s">
        <v>157</v>
      </c>
      <c r="F768" s="219" t="s">
        <v>358</v>
      </c>
      <c r="G768" s="214" t="s">
        <v>350</v>
      </c>
      <c r="H768" s="221">
        <v>44199.0</v>
      </c>
      <c r="I768" s="219" t="s">
        <v>1242</v>
      </c>
      <c r="J768" s="219" t="s">
        <v>223</v>
      </c>
      <c r="K768" s="219" t="s">
        <v>402</v>
      </c>
      <c r="L768" s="214" t="s">
        <v>438</v>
      </c>
      <c r="M768" s="222">
        <v>2021.0</v>
      </c>
      <c r="N768" s="214" t="s">
        <v>497</v>
      </c>
      <c r="O768" s="223">
        <v>1.0</v>
      </c>
      <c r="P768" s="224">
        <f t="shared" si="1"/>
        <v>0.223245614</v>
      </c>
      <c r="Q768" s="214" t="str">
        <f t="shared" si="2"/>
        <v>Medium</v>
      </c>
    </row>
    <row r="769" ht="15.75" customHeight="1">
      <c r="A769" s="214" t="s">
        <v>1243</v>
      </c>
      <c r="B769" s="216">
        <v>6596.0</v>
      </c>
      <c r="C769" s="216">
        <v>1439.0</v>
      </c>
      <c r="D769" s="217">
        <v>9.0</v>
      </c>
      <c r="E769" s="219" t="s">
        <v>242</v>
      </c>
      <c r="F769" s="219" t="s">
        <v>357</v>
      </c>
      <c r="G769" s="214" t="s">
        <v>351</v>
      </c>
      <c r="H769" s="221">
        <v>45049.0</v>
      </c>
      <c r="I769" s="219" t="s">
        <v>1244</v>
      </c>
      <c r="J769" s="219" t="s">
        <v>313</v>
      </c>
      <c r="K769" s="219" t="s">
        <v>518</v>
      </c>
      <c r="L769" s="214" t="s">
        <v>469</v>
      </c>
      <c r="M769" s="222">
        <v>2023.0</v>
      </c>
      <c r="N769" s="214" t="s">
        <v>411</v>
      </c>
      <c r="O769" s="223">
        <v>2.0</v>
      </c>
      <c r="P769" s="224">
        <f t="shared" si="1"/>
        <v>0.2181625227</v>
      </c>
      <c r="Q769" s="214" t="str">
        <f t="shared" si="2"/>
        <v>High</v>
      </c>
    </row>
    <row r="770" ht="15.75" customHeight="1">
      <c r="A770" s="214" t="s">
        <v>1245</v>
      </c>
      <c r="B770" s="216">
        <v>4510.0</v>
      </c>
      <c r="C770" s="216">
        <v>1896.0</v>
      </c>
      <c r="D770" s="217">
        <v>5.0</v>
      </c>
      <c r="E770" s="219" t="s">
        <v>242</v>
      </c>
      <c r="F770" s="219" t="s">
        <v>357</v>
      </c>
      <c r="G770" s="214" t="s">
        <v>406</v>
      </c>
      <c r="H770" s="221">
        <v>45224.0</v>
      </c>
      <c r="I770" s="219" t="s">
        <v>1246</v>
      </c>
      <c r="J770" s="219" t="s">
        <v>117</v>
      </c>
      <c r="K770" s="219" t="s">
        <v>423</v>
      </c>
      <c r="L770" s="214" t="s">
        <v>475</v>
      </c>
      <c r="M770" s="222">
        <v>2023.0</v>
      </c>
      <c r="N770" s="214" t="s">
        <v>414</v>
      </c>
      <c r="O770" s="223">
        <v>4.0</v>
      </c>
      <c r="P770" s="224">
        <f t="shared" si="1"/>
        <v>0.4203991131</v>
      </c>
      <c r="Q770" s="214" t="str">
        <f t="shared" si="2"/>
        <v>Medium</v>
      </c>
    </row>
    <row r="771" ht="15.75" customHeight="1">
      <c r="A771" s="214" t="s">
        <v>1247</v>
      </c>
      <c r="B771" s="216">
        <v>6077.0</v>
      </c>
      <c r="C771" s="216">
        <v>2378.0</v>
      </c>
      <c r="D771" s="217">
        <v>18.0</v>
      </c>
      <c r="E771" s="219" t="s">
        <v>157</v>
      </c>
      <c r="F771" s="219" t="s">
        <v>358</v>
      </c>
      <c r="G771" s="214" t="s">
        <v>405</v>
      </c>
      <c r="H771" s="221">
        <v>44794.0</v>
      </c>
      <c r="I771" s="219" t="s">
        <v>1248</v>
      </c>
      <c r="J771" s="219" t="s">
        <v>223</v>
      </c>
      <c r="K771" s="219" t="s">
        <v>428</v>
      </c>
      <c r="L771" s="214" t="s">
        <v>461</v>
      </c>
      <c r="M771" s="222">
        <v>2022.0</v>
      </c>
      <c r="N771" s="214" t="s">
        <v>523</v>
      </c>
      <c r="O771" s="223">
        <v>3.0</v>
      </c>
      <c r="P771" s="224">
        <f t="shared" si="1"/>
        <v>0.3913115024</v>
      </c>
      <c r="Q771" s="214" t="str">
        <f t="shared" si="2"/>
        <v>High</v>
      </c>
    </row>
    <row r="772" ht="15.75" customHeight="1">
      <c r="A772" s="214" t="s">
        <v>1249</v>
      </c>
      <c r="B772" s="216">
        <v>5379.0</v>
      </c>
      <c r="C772" s="216">
        <v>2510.0</v>
      </c>
      <c r="D772" s="217">
        <v>17.0</v>
      </c>
      <c r="E772" s="219" t="s">
        <v>157</v>
      </c>
      <c r="F772" s="219" t="s">
        <v>354</v>
      </c>
      <c r="G772" s="214" t="s">
        <v>405</v>
      </c>
      <c r="H772" s="221">
        <v>44667.0</v>
      </c>
      <c r="I772" s="219" t="s">
        <v>1250</v>
      </c>
      <c r="J772" s="219" t="s">
        <v>313</v>
      </c>
      <c r="K772" s="219" t="s">
        <v>512</v>
      </c>
      <c r="L772" s="214" t="s">
        <v>456</v>
      </c>
      <c r="M772" s="222">
        <v>2022.0</v>
      </c>
      <c r="N772" s="214" t="s">
        <v>542</v>
      </c>
      <c r="O772" s="223">
        <v>2.0</v>
      </c>
      <c r="P772" s="224">
        <f t="shared" si="1"/>
        <v>0.466629485</v>
      </c>
      <c r="Q772" s="214" t="str">
        <f t="shared" si="2"/>
        <v>High</v>
      </c>
    </row>
    <row r="773" ht="15.75" customHeight="1">
      <c r="A773" s="214" t="s">
        <v>1251</v>
      </c>
      <c r="B773" s="216">
        <v>4629.0</v>
      </c>
      <c r="C773" s="216">
        <v>1660.0</v>
      </c>
      <c r="D773" s="217">
        <v>16.0</v>
      </c>
      <c r="E773" s="219" t="s">
        <v>242</v>
      </c>
      <c r="F773" s="219" t="s">
        <v>317</v>
      </c>
      <c r="G773" s="214" t="s">
        <v>406</v>
      </c>
      <c r="H773" s="221">
        <v>45018.0</v>
      </c>
      <c r="I773" s="219" t="s">
        <v>1252</v>
      </c>
      <c r="J773" s="219" t="s">
        <v>117</v>
      </c>
      <c r="K773" s="219" t="s">
        <v>496</v>
      </c>
      <c r="L773" s="214" t="s">
        <v>468</v>
      </c>
      <c r="M773" s="222">
        <v>2023.0</v>
      </c>
      <c r="N773" s="214" t="s">
        <v>542</v>
      </c>
      <c r="O773" s="223">
        <v>2.0</v>
      </c>
      <c r="P773" s="224">
        <f t="shared" si="1"/>
        <v>0.3586087708</v>
      </c>
      <c r="Q773" s="214" t="str">
        <f t="shared" si="2"/>
        <v>Medium</v>
      </c>
    </row>
    <row r="774" ht="15.75" customHeight="1">
      <c r="A774" s="214" t="s">
        <v>1253</v>
      </c>
      <c r="B774" s="216">
        <v>2710.0</v>
      </c>
      <c r="C774" s="216">
        <v>555.0</v>
      </c>
      <c r="D774" s="217">
        <v>20.0</v>
      </c>
      <c r="E774" s="219" t="s">
        <v>157</v>
      </c>
      <c r="F774" s="219" t="s">
        <v>360</v>
      </c>
      <c r="G774" s="214" t="s">
        <v>351</v>
      </c>
      <c r="H774" s="221">
        <v>45586.0</v>
      </c>
      <c r="I774" s="219" t="s">
        <v>1254</v>
      </c>
      <c r="J774" s="219" t="s">
        <v>271</v>
      </c>
      <c r="K774" s="219" t="s">
        <v>398</v>
      </c>
      <c r="L774" s="214" t="s">
        <v>485</v>
      </c>
      <c r="M774" s="222">
        <v>2024.0</v>
      </c>
      <c r="N774" s="214" t="s">
        <v>414</v>
      </c>
      <c r="O774" s="223">
        <v>4.0</v>
      </c>
      <c r="P774" s="224">
        <f t="shared" si="1"/>
        <v>0.204797048</v>
      </c>
      <c r="Q774" s="214" t="str">
        <f t="shared" si="2"/>
        <v>Medium</v>
      </c>
    </row>
    <row r="775" ht="15.75" customHeight="1">
      <c r="A775" s="214" t="s">
        <v>1253</v>
      </c>
      <c r="B775" s="216">
        <v>3224.0</v>
      </c>
      <c r="C775" s="216">
        <v>1018.0</v>
      </c>
      <c r="D775" s="217">
        <v>14.0</v>
      </c>
      <c r="E775" s="219" t="s">
        <v>242</v>
      </c>
      <c r="F775" s="219" t="s">
        <v>362</v>
      </c>
      <c r="G775" s="214" t="s">
        <v>392</v>
      </c>
      <c r="H775" s="221">
        <v>45586.0</v>
      </c>
      <c r="I775" s="219" t="s">
        <v>1254</v>
      </c>
      <c r="J775" s="219" t="s">
        <v>271</v>
      </c>
      <c r="K775" s="219" t="s">
        <v>398</v>
      </c>
      <c r="L775" s="214" t="s">
        <v>485</v>
      </c>
      <c r="M775" s="222">
        <v>2024.0</v>
      </c>
      <c r="N775" s="214" t="s">
        <v>414</v>
      </c>
      <c r="O775" s="223">
        <v>4.0</v>
      </c>
      <c r="P775" s="224">
        <f t="shared" si="1"/>
        <v>0.3157568238</v>
      </c>
      <c r="Q775" s="214" t="str">
        <f t="shared" si="2"/>
        <v>Medium</v>
      </c>
    </row>
    <row r="776" ht="15.75" customHeight="1">
      <c r="A776" s="214" t="s">
        <v>1255</v>
      </c>
      <c r="B776" s="216">
        <v>8042.0</v>
      </c>
      <c r="C776" s="216">
        <v>936.0</v>
      </c>
      <c r="D776" s="217">
        <v>15.0</v>
      </c>
      <c r="E776" s="219" t="s">
        <v>242</v>
      </c>
      <c r="F776" s="219" t="s">
        <v>317</v>
      </c>
      <c r="G776" s="214" t="s">
        <v>406</v>
      </c>
      <c r="H776" s="221">
        <v>44386.0</v>
      </c>
      <c r="I776" s="219" t="s">
        <v>1256</v>
      </c>
      <c r="J776" s="219" t="s">
        <v>271</v>
      </c>
      <c r="K776" s="219" t="s">
        <v>449</v>
      </c>
      <c r="L776" s="214" t="s">
        <v>403</v>
      </c>
      <c r="M776" s="222">
        <v>2021.0</v>
      </c>
      <c r="N776" s="214" t="s">
        <v>404</v>
      </c>
      <c r="O776" s="223">
        <v>3.0</v>
      </c>
      <c r="P776" s="224">
        <f t="shared" si="1"/>
        <v>0.116388958</v>
      </c>
      <c r="Q776" s="214" t="str">
        <f t="shared" si="2"/>
        <v>High</v>
      </c>
    </row>
    <row r="777" ht="15.75" customHeight="1">
      <c r="A777" s="214" t="s">
        <v>1255</v>
      </c>
      <c r="B777" s="216">
        <v>8042.0</v>
      </c>
      <c r="C777" s="216">
        <v>936.0</v>
      </c>
      <c r="D777" s="217">
        <v>15.0</v>
      </c>
      <c r="E777" s="219" t="s">
        <v>242</v>
      </c>
      <c r="F777" s="219" t="s">
        <v>317</v>
      </c>
      <c r="G777" s="214" t="s">
        <v>406</v>
      </c>
      <c r="H777" s="221">
        <v>44659.0</v>
      </c>
      <c r="I777" s="219" t="s">
        <v>1257</v>
      </c>
      <c r="J777" s="219" t="s">
        <v>117</v>
      </c>
      <c r="K777" s="219" t="s">
        <v>423</v>
      </c>
      <c r="L777" s="214" t="s">
        <v>456</v>
      </c>
      <c r="M777" s="222">
        <v>2022.0</v>
      </c>
      <c r="N777" s="214" t="s">
        <v>542</v>
      </c>
      <c r="O777" s="223">
        <v>2.0</v>
      </c>
      <c r="P777" s="224">
        <f t="shared" si="1"/>
        <v>0.116388958</v>
      </c>
      <c r="Q777" s="214" t="str">
        <f t="shared" si="2"/>
        <v>High</v>
      </c>
    </row>
    <row r="778" ht="15.75" customHeight="1">
      <c r="A778" s="214" t="s">
        <v>1258</v>
      </c>
      <c r="B778" s="216">
        <v>3957.0</v>
      </c>
      <c r="C778" s="216">
        <v>151.0</v>
      </c>
      <c r="D778" s="217">
        <v>10.0</v>
      </c>
      <c r="E778" s="219" t="s">
        <v>242</v>
      </c>
      <c r="F778" s="219" t="s">
        <v>362</v>
      </c>
      <c r="G778" s="214" t="s">
        <v>406</v>
      </c>
      <c r="H778" s="221">
        <v>44681.0</v>
      </c>
      <c r="I778" s="219" t="s">
        <v>1259</v>
      </c>
      <c r="J778" s="219" t="s">
        <v>241</v>
      </c>
      <c r="K778" s="219" t="s">
        <v>504</v>
      </c>
      <c r="L778" s="214" t="s">
        <v>456</v>
      </c>
      <c r="M778" s="222">
        <v>2022.0</v>
      </c>
      <c r="N778" s="214" t="s">
        <v>542</v>
      </c>
      <c r="O778" s="223">
        <v>2.0</v>
      </c>
      <c r="P778" s="224">
        <f t="shared" si="1"/>
        <v>0.03816022239</v>
      </c>
      <c r="Q778" s="214" t="str">
        <f t="shared" si="2"/>
        <v>Medium</v>
      </c>
    </row>
    <row r="779" ht="15.75" customHeight="1">
      <c r="A779" s="214" t="s">
        <v>1260</v>
      </c>
      <c r="B779" s="216">
        <v>8769.0</v>
      </c>
      <c r="C779" s="216">
        <v>3178.0</v>
      </c>
      <c r="D779" s="217">
        <v>16.0</v>
      </c>
      <c r="E779" s="219" t="s">
        <v>242</v>
      </c>
      <c r="F779" s="219" t="s">
        <v>317</v>
      </c>
      <c r="G779" s="214" t="s">
        <v>351</v>
      </c>
      <c r="H779" s="221">
        <v>44946.0</v>
      </c>
      <c r="I779" s="219" t="s">
        <v>1261</v>
      </c>
      <c r="J779" s="219" t="s">
        <v>271</v>
      </c>
      <c r="K779" s="219" t="s">
        <v>398</v>
      </c>
      <c r="L779" s="214" t="s">
        <v>465</v>
      </c>
      <c r="M779" s="222">
        <v>2023.0</v>
      </c>
      <c r="N779" s="214" t="s">
        <v>497</v>
      </c>
      <c r="O779" s="223">
        <v>1.0</v>
      </c>
      <c r="P779" s="224">
        <f t="shared" si="1"/>
        <v>0.362413046</v>
      </c>
      <c r="Q779" s="214" t="str">
        <f t="shared" si="2"/>
        <v>High</v>
      </c>
    </row>
    <row r="780" ht="15.75" customHeight="1">
      <c r="A780" s="214" t="s">
        <v>1262</v>
      </c>
      <c r="B780" s="216">
        <v>2957.0</v>
      </c>
      <c r="C780" s="216">
        <v>917.0</v>
      </c>
      <c r="D780" s="217">
        <v>16.0</v>
      </c>
      <c r="E780" s="219" t="s">
        <v>242</v>
      </c>
      <c r="F780" s="219" t="s">
        <v>356</v>
      </c>
      <c r="G780" s="214" t="s">
        <v>351</v>
      </c>
      <c r="H780" s="221">
        <v>45613.0</v>
      </c>
      <c r="I780" s="219" t="s">
        <v>1263</v>
      </c>
      <c r="J780" s="219" t="s">
        <v>271</v>
      </c>
      <c r="K780" s="219" t="s">
        <v>398</v>
      </c>
      <c r="L780" s="214" t="s">
        <v>486</v>
      </c>
      <c r="M780" s="222">
        <v>2024.0</v>
      </c>
      <c r="N780" s="214" t="s">
        <v>425</v>
      </c>
      <c r="O780" s="223">
        <v>4.0</v>
      </c>
      <c r="P780" s="224">
        <f t="shared" si="1"/>
        <v>0.3101115996</v>
      </c>
      <c r="Q780" s="214" t="str">
        <f t="shared" si="2"/>
        <v>Medium</v>
      </c>
    </row>
    <row r="781" ht="15.75" customHeight="1">
      <c r="A781" s="214" t="s">
        <v>1264</v>
      </c>
      <c r="B781" s="216">
        <v>5344.0</v>
      </c>
      <c r="C781" s="216">
        <v>2607.0</v>
      </c>
      <c r="D781" s="217">
        <v>6.0</v>
      </c>
      <c r="E781" s="219" t="s">
        <v>242</v>
      </c>
      <c r="F781" s="219" t="s">
        <v>357</v>
      </c>
      <c r="G781" s="214" t="s">
        <v>351</v>
      </c>
      <c r="H781" s="221">
        <v>44674.0</v>
      </c>
      <c r="I781" s="219" t="s">
        <v>1265</v>
      </c>
      <c r="J781" s="219" t="s">
        <v>241</v>
      </c>
      <c r="K781" s="219" t="s">
        <v>493</v>
      </c>
      <c r="L781" s="214" t="s">
        <v>456</v>
      </c>
      <c r="M781" s="222">
        <v>2022.0</v>
      </c>
      <c r="N781" s="214" t="s">
        <v>542</v>
      </c>
      <c r="O781" s="223">
        <v>2.0</v>
      </c>
      <c r="P781" s="224">
        <f t="shared" si="1"/>
        <v>0.4878368263</v>
      </c>
      <c r="Q781" s="214" t="str">
        <f t="shared" si="2"/>
        <v>High</v>
      </c>
    </row>
    <row r="782" ht="15.75" customHeight="1">
      <c r="A782" s="214" t="s">
        <v>1264</v>
      </c>
      <c r="B782" s="216">
        <v>5344.0</v>
      </c>
      <c r="C782" s="216">
        <v>2607.0</v>
      </c>
      <c r="D782" s="217">
        <v>6.0</v>
      </c>
      <c r="E782" s="219" t="s">
        <v>242</v>
      </c>
      <c r="F782" s="219" t="s">
        <v>357</v>
      </c>
      <c r="G782" s="214" t="s">
        <v>351</v>
      </c>
      <c r="H782" s="221">
        <v>45706.0</v>
      </c>
      <c r="I782" s="219" t="s">
        <v>1266</v>
      </c>
      <c r="J782" s="219" t="s">
        <v>223</v>
      </c>
      <c r="K782" s="219" t="s">
        <v>473</v>
      </c>
      <c r="L782" s="214" t="s">
        <v>488</v>
      </c>
      <c r="M782" s="222">
        <v>2025.0</v>
      </c>
      <c r="N782" s="214" t="s">
        <v>494</v>
      </c>
      <c r="O782" s="223">
        <v>1.0</v>
      </c>
      <c r="P782" s="224">
        <f t="shared" si="1"/>
        <v>0.4878368263</v>
      </c>
      <c r="Q782" s="214" t="str">
        <f t="shared" si="2"/>
        <v>High</v>
      </c>
    </row>
    <row r="783" ht="15.75" customHeight="1">
      <c r="A783" s="214" t="s">
        <v>1267</v>
      </c>
      <c r="B783" s="216">
        <v>6061.0</v>
      </c>
      <c r="C783" s="216">
        <v>2121.0</v>
      </c>
      <c r="D783" s="217">
        <v>19.0</v>
      </c>
      <c r="E783" s="219" t="s">
        <v>157</v>
      </c>
      <c r="F783" s="219" t="s">
        <v>360</v>
      </c>
      <c r="G783" s="214" t="s">
        <v>406</v>
      </c>
      <c r="H783" s="221">
        <v>44343.0</v>
      </c>
      <c r="I783" s="219" t="s">
        <v>1268</v>
      </c>
      <c r="J783" s="219" t="s">
        <v>313</v>
      </c>
      <c r="K783" s="219" t="s">
        <v>526</v>
      </c>
      <c r="L783" s="214" t="s">
        <v>443</v>
      </c>
      <c r="M783" s="222">
        <v>2021.0</v>
      </c>
      <c r="N783" s="214" t="s">
        <v>411</v>
      </c>
      <c r="O783" s="223">
        <v>2.0</v>
      </c>
      <c r="P783" s="224">
        <f t="shared" si="1"/>
        <v>0.3499422538</v>
      </c>
      <c r="Q783" s="214" t="str">
        <f t="shared" si="2"/>
        <v>High</v>
      </c>
    </row>
    <row r="784" ht="15.75" customHeight="1">
      <c r="A784" s="214" t="s">
        <v>1267</v>
      </c>
      <c r="B784" s="216">
        <v>6061.0</v>
      </c>
      <c r="C784" s="216">
        <v>2121.0</v>
      </c>
      <c r="D784" s="217">
        <v>19.0</v>
      </c>
      <c r="E784" s="219" t="s">
        <v>157</v>
      </c>
      <c r="F784" s="219" t="s">
        <v>360</v>
      </c>
      <c r="G784" s="214" t="s">
        <v>406</v>
      </c>
      <c r="H784" s="221">
        <v>44578.0</v>
      </c>
      <c r="I784" s="219" t="s">
        <v>1269</v>
      </c>
      <c r="J784" s="219" t="s">
        <v>117</v>
      </c>
      <c r="K784" s="219" t="s">
        <v>496</v>
      </c>
      <c r="L784" s="214" t="s">
        <v>453</v>
      </c>
      <c r="M784" s="222">
        <v>2022.0</v>
      </c>
      <c r="N784" s="214" t="s">
        <v>497</v>
      </c>
      <c r="O784" s="223">
        <v>1.0</v>
      </c>
      <c r="P784" s="224">
        <f t="shared" si="1"/>
        <v>0.3499422538</v>
      </c>
      <c r="Q784" s="214" t="str">
        <f t="shared" si="2"/>
        <v>High</v>
      </c>
    </row>
    <row r="785" ht="15.75" customHeight="1">
      <c r="A785" s="214" t="s">
        <v>1270</v>
      </c>
      <c r="B785" s="216">
        <v>5376.0</v>
      </c>
      <c r="C785" s="216">
        <v>1928.0</v>
      </c>
      <c r="D785" s="217">
        <v>7.0</v>
      </c>
      <c r="E785" s="219" t="s">
        <v>216</v>
      </c>
      <c r="F785" s="219" t="s">
        <v>344</v>
      </c>
      <c r="G785" s="214" t="s">
        <v>350</v>
      </c>
      <c r="H785" s="221">
        <v>45672.0</v>
      </c>
      <c r="I785" s="219" t="s">
        <v>1271</v>
      </c>
      <c r="J785" s="219" t="s">
        <v>223</v>
      </c>
      <c r="K785" s="219" t="s">
        <v>428</v>
      </c>
      <c r="L785" s="214" t="s">
        <v>487</v>
      </c>
      <c r="M785" s="222">
        <v>2025.0</v>
      </c>
      <c r="N785" s="214" t="s">
        <v>497</v>
      </c>
      <c r="O785" s="223">
        <v>1.0</v>
      </c>
      <c r="P785" s="224">
        <f t="shared" si="1"/>
        <v>0.3586309524</v>
      </c>
      <c r="Q785" s="214" t="str">
        <f t="shared" si="2"/>
        <v>High</v>
      </c>
    </row>
    <row r="786" ht="15.75" customHeight="1">
      <c r="A786" s="214" t="s">
        <v>1272</v>
      </c>
      <c r="B786" s="216">
        <v>2792.0</v>
      </c>
      <c r="C786" s="216">
        <v>1008.0</v>
      </c>
      <c r="D786" s="217">
        <v>8.0</v>
      </c>
      <c r="E786" s="219" t="s">
        <v>157</v>
      </c>
      <c r="F786" s="219" t="s">
        <v>354</v>
      </c>
      <c r="G786" s="214" t="s">
        <v>405</v>
      </c>
      <c r="H786" s="221">
        <v>44241.0</v>
      </c>
      <c r="I786" s="219" t="s">
        <v>1273</v>
      </c>
      <c r="J786" s="219" t="s">
        <v>159</v>
      </c>
      <c r="K786" s="219" t="s">
        <v>394</v>
      </c>
      <c r="L786" s="214" t="s">
        <v>439</v>
      </c>
      <c r="M786" s="222">
        <v>2021.0</v>
      </c>
      <c r="N786" s="214" t="s">
        <v>494</v>
      </c>
      <c r="O786" s="223">
        <v>1.0</v>
      </c>
      <c r="P786" s="224">
        <f t="shared" si="1"/>
        <v>0.3610315186</v>
      </c>
      <c r="Q786" s="214" t="str">
        <f t="shared" si="2"/>
        <v>Medium</v>
      </c>
    </row>
    <row r="787" ht="15.75" customHeight="1">
      <c r="A787" s="214" t="s">
        <v>1274</v>
      </c>
      <c r="B787" s="216">
        <v>2944.0</v>
      </c>
      <c r="C787" s="216">
        <v>249.0</v>
      </c>
      <c r="D787" s="217">
        <v>5.0</v>
      </c>
      <c r="E787" s="219" t="s">
        <v>242</v>
      </c>
      <c r="F787" s="219" t="s">
        <v>362</v>
      </c>
      <c r="G787" s="214" t="s">
        <v>350</v>
      </c>
      <c r="H787" s="221">
        <v>45535.0</v>
      </c>
      <c r="I787" s="219" t="s">
        <v>1275</v>
      </c>
      <c r="J787" s="219" t="s">
        <v>313</v>
      </c>
      <c r="K787" s="219" t="s">
        <v>512</v>
      </c>
      <c r="L787" s="214" t="s">
        <v>483</v>
      </c>
      <c r="M787" s="222">
        <v>2024.0</v>
      </c>
      <c r="N787" s="214" t="s">
        <v>523</v>
      </c>
      <c r="O787" s="223">
        <v>3.0</v>
      </c>
      <c r="P787" s="224">
        <f t="shared" si="1"/>
        <v>0.08457880435</v>
      </c>
      <c r="Q787" s="214" t="str">
        <f t="shared" si="2"/>
        <v>Medium</v>
      </c>
    </row>
    <row r="788" ht="15.75" customHeight="1">
      <c r="A788" s="214" t="s">
        <v>1274</v>
      </c>
      <c r="B788" s="216">
        <v>2944.0</v>
      </c>
      <c r="C788" s="216">
        <v>249.0</v>
      </c>
      <c r="D788" s="217">
        <v>5.0</v>
      </c>
      <c r="E788" s="219" t="s">
        <v>242</v>
      </c>
      <c r="F788" s="219" t="s">
        <v>362</v>
      </c>
      <c r="G788" s="214" t="s">
        <v>350</v>
      </c>
      <c r="H788" s="221">
        <v>44921.0</v>
      </c>
      <c r="I788" s="219" t="s">
        <v>1276</v>
      </c>
      <c r="J788" s="219" t="s">
        <v>241</v>
      </c>
      <c r="K788" s="219" t="s">
        <v>493</v>
      </c>
      <c r="L788" s="214" t="s">
        <v>464</v>
      </c>
      <c r="M788" s="222">
        <v>2022.0</v>
      </c>
      <c r="N788" s="214" t="s">
        <v>400</v>
      </c>
      <c r="O788" s="223">
        <v>4.0</v>
      </c>
      <c r="P788" s="224">
        <f t="shared" si="1"/>
        <v>0.08457880435</v>
      </c>
      <c r="Q788" s="214" t="str">
        <f t="shared" si="2"/>
        <v>Medium</v>
      </c>
    </row>
    <row r="789" ht="15.75" customHeight="1">
      <c r="A789" s="214" t="s">
        <v>1277</v>
      </c>
      <c r="B789" s="216">
        <v>4220.0</v>
      </c>
      <c r="C789" s="216">
        <v>945.0</v>
      </c>
      <c r="D789" s="217">
        <v>13.0</v>
      </c>
      <c r="E789" s="219" t="s">
        <v>242</v>
      </c>
      <c r="F789" s="219" t="s">
        <v>317</v>
      </c>
      <c r="G789" s="214" t="s">
        <v>406</v>
      </c>
      <c r="H789" s="221">
        <v>45372.0</v>
      </c>
      <c r="I789" s="219" t="s">
        <v>1278</v>
      </c>
      <c r="J789" s="219" t="s">
        <v>271</v>
      </c>
      <c r="K789" s="219" t="s">
        <v>449</v>
      </c>
      <c r="L789" s="214" t="s">
        <v>479</v>
      </c>
      <c r="M789" s="222">
        <v>2024.0</v>
      </c>
      <c r="N789" s="214" t="s">
        <v>433</v>
      </c>
      <c r="O789" s="223">
        <v>1.0</v>
      </c>
      <c r="P789" s="224">
        <f t="shared" si="1"/>
        <v>0.2239336493</v>
      </c>
      <c r="Q789" s="214" t="str">
        <f t="shared" si="2"/>
        <v>Medium</v>
      </c>
    </row>
    <row r="790" ht="15.75" customHeight="1">
      <c r="A790" s="214" t="s">
        <v>1277</v>
      </c>
      <c r="B790" s="216">
        <v>4220.0</v>
      </c>
      <c r="C790" s="216">
        <v>945.0</v>
      </c>
      <c r="D790" s="217">
        <v>13.0</v>
      </c>
      <c r="E790" s="219" t="s">
        <v>242</v>
      </c>
      <c r="F790" s="219" t="s">
        <v>317</v>
      </c>
      <c r="G790" s="214" t="s">
        <v>406</v>
      </c>
      <c r="H790" s="221">
        <v>44180.0</v>
      </c>
      <c r="I790" s="219" t="s">
        <v>1279</v>
      </c>
      <c r="J790" s="219" t="s">
        <v>271</v>
      </c>
      <c r="K790" s="219" t="s">
        <v>568</v>
      </c>
      <c r="L790" s="214" t="s">
        <v>437</v>
      </c>
      <c r="M790" s="222">
        <v>2020.0</v>
      </c>
      <c r="N790" s="214" t="s">
        <v>400</v>
      </c>
      <c r="O790" s="223">
        <v>4.0</v>
      </c>
      <c r="P790" s="224">
        <f t="shared" si="1"/>
        <v>0.2239336493</v>
      </c>
      <c r="Q790" s="214" t="str">
        <f t="shared" si="2"/>
        <v>Medium</v>
      </c>
    </row>
    <row r="791" ht="15.75" customHeight="1">
      <c r="A791" s="214" t="s">
        <v>1280</v>
      </c>
      <c r="B791" s="216">
        <v>8526.0</v>
      </c>
      <c r="C791" s="216">
        <v>1704.0</v>
      </c>
      <c r="D791" s="217">
        <v>4.0</v>
      </c>
      <c r="E791" s="219" t="s">
        <v>242</v>
      </c>
      <c r="F791" s="219" t="s">
        <v>362</v>
      </c>
      <c r="G791" s="214" t="s">
        <v>351</v>
      </c>
      <c r="H791" s="221">
        <v>45006.0</v>
      </c>
      <c r="I791" s="219" t="s">
        <v>1281</v>
      </c>
      <c r="J791" s="219" t="s">
        <v>241</v>
      </c>
      <c r="K791" s="219" t="s">
        <v>504</v>
      </c>
      <c r="L791" s="214" t="s">
        <v>467</v>
      </c>
      <c r="M791" s="222">
        <v>2023.0</v>
      </c>
      <c r="N791" s="214" t="s">
        <v>433</v>
      </c>
      <c r="O791" s="223">
        <v>1.0</v>
      </c>
      <c r="P791" s="224">
        <f t="shared" si="1"/>
        <v>0.199859254</v>
      </c>
      <c r="Q791" s="214" t="str">
        <f t="shared" si="2"/>
        <v>High</v>
      </c>
    </row>
    <row r="792" ht="15.75" customHeight="1">
      <c r="A792" s="214" t="s">
        <v>1282</v>
      </c>
      <c r="B792" s="216">
        <v>8218.0</v>
      </c>
      <c r="C792" s="216">
        <v>1430.0</v>
      </c>
      <c r="D792" s="217">
        <v>19.0</v>
      </c>
      <c r="E792" s="219" t="s">
        <v>216</v>
      </c>
      <c r="F792" s="219" t="s">
        <v>361</v>
      </c>
      <c r="G792" s="214" t="s">
        <v>350</v>
      </c>
      <c r="H792" s="221">
        <v>45085.0</v>
      </c>
      <c r="I792" s="219" t="s">
        <v>1283</v>
      </c>
      <c r="J792" s="219" t="s">
        <v>117</v>
      </c>
      <c r="K792" s="219" t="s">
        <v>508</v>
      </c>
      <c r="L792" s="214" t="s">
        <v>395</v>
      </c>
      <c r="M792" s="222">
        <v>2023.0</v>
      </c>
      <c r="N792" s="214" t="s">
        <v>396</v>
      </c>
      <c r="O792" s="223">
        <v>2.0</v>
      </c>
      <c r="P792" s="224">
        <f t="shared" si="1"/>
        <v>0.1740082745</v>
      </c>
      <c r="Q792" s="214" t="str">
        <f t="shared" si="2"/>
        <v>High</v>
      </c>
    </row>
    <row r="793" ht="15.75" customHeight="1">
      <c r="A793" s="214" t="s">
        <v>1284</v>
      </c>
      <c r="B793" s="216">
        <v>599.0</v>
      </c>
      <c r="C793" s="216">
        <v>265.0</v>
      </c>
      <c r="D793" s="217">
        <v>4.0</v>
      </c>
      <c r="E793" s="219" t="s">
        <v>157</v>
      </c>
      <c r="F793" s="219" t="s">
        <v>358</v>
      </c>
      <c r="G793" s="214" t="s">
        <v>350</v>
      </c>
      <c r="H793" s="221">
        <v>44759.0</v>
      </c>
      <c r="I793" s="219" t="s">
        <v>1285</v>
      </c>
      <c r="J793" s="219" t="s">
        <v>223</v>
      </c>
      <c r="K793" s="219" t="s">
        <v>402</v>
      </c>
      <c r="L793" s="214" t="s">
        <v>460</v>
      </c>
      <c r="M793" s="222">
        <v>2022.0</v>
      </c>
      <c r="N793" s="214" t="s">
        <v>404</v>
      </c>
      <c r="O793" s="223">
        <v>3.0</v>
      </c>
      <c r="P793" s="224">
        <f t="shared" si="1"/>
        <v>0.4424040067</v>
      </c>
      <c r="Q793" s="214" t="str">
        <f t="shared" si="2"/>
        <v>Medium</v>
      </c>
    </row>
    <row r="794" ht="15.75" customHeight="1">
      <c r="A794" s="214" t="s">
        <v>1284</v>
      </c>
      <c r="B794" s="216">
        <v>599.0</v>
      </c>
      <c r="C794" s="216">
        <v>265.0</v>
      </c>
      <c r="D794" s="217">
        <v>4.0</v>
      </c>
      <c r="E794" s="219" t="s">
        <v>157</v>
      </c>
      <c r="F794" s="219" t="s">
        <v>358</v>
      </c>
      <c r="G794" s="214" t="s">
        <v>350</v>
      </c>
      <c r="H794" s="221">
        <v>45631.0</v>
      </c>
      <c r="I794" s="219" t="s">
        <v>1286</v>
      </c>
      <c r="J794" s="219" t="s">
        <v>223</v>
      </c>
      <c r="K794" s="219" t="s">
        <v>473</v>
      </c>
      <c r="L794" s="214" t="s">
        <v>399</v>
      </c>
      <c r="M794" s="222">
        <v>2024.0</v>
      </c>
      <c r="N794" s="214" t="s">
        <v>400</v>
      </c>
      <c r="O794" s="223">
        <v>4.0</v>
      </c>
      <c r="P794" s="224">
        <f t="shared" si="1"/>
        <v>0.4424040067</v>
      </c>
      <c r="Q794" s="214" t="str">
        <f t="shared" si="2"/>
        <v>Medium</v>
      </c>
    </row>
    <row r="795" ht="15.75" customHeight="1">
      <c r="A795" s="214" t="s">
        <v>1284</v>
      </c>
      <c r="B795" s="216">
        <v>2727.0</v>
      </c>
      <c r="C795" s="216">
        <v>543.0</v>
      </c>
      <c r="D795" s="217">
        <v>10.0</v>
      </c>
      <c r="E795" s="219" t="s">
        <v>216</v>
      </c>
      <c r="F795" s="219" t="s">
        <v>361</v>
      </c>
      <c r="G795" s="214" t="s">
        <v>350</v>
      </c>
      <c r="H795" s="221">
        <v>44759.0</v>
      </c>
      <c r="I795" s="219" t="s">
        <v>1285</v>
      </c>
      <c r="J795" s="219" t="s">
        <v>223</v>
      </c>
      <c r="K795" s="219" t="s">
        <v>402</v>
      </c>
      <c r="L795" s="214" t="s">
        <v>460</v>
      </c>
      <c r="M795" s="222">
        <v>2022.0</v>
      </c>
      <c r="N795" s="214" t="s">
        <v>404</v>
      </c>
      <c r="O795" s="223">
        <v>3.0</v>
      </c>
      <c r="P795" s="224">
        <f t="shared" si="1"/>
        <v>0.199119912</v>
      </c>
      <c r="Q795" s="214" t="str">
        <f t="shared" si="2"/>
        <v>Medium</v>
      </c>
    </row>
    <row r="796" ht="15.75" customHeight="1">
      <c r="A796" s="214" t="s">
        <v>1284</v>
      </c>
      <c r="B796" s="216">
        <v>2727.0</v>
      </c>
      <c r="C796" s="216">
        <v>543.0</v>
      </c>
      <c r="D796" s="217">
        <v>10.0</v>
      </c>
      <c r="E796" s="219" t="s">
        <v>216</v>
      </c>
      <c r="F796" s="219" t="s">
        <v>361</v>
      </c>
      <c r="G796" s="214" t="s">
        <v>350</v>
      </c>
      <c r="H796" s="221">
        <v>45631.0</v>
      </c>
      <c r="I796" s="219" t="s">
        <v>1286</v>
      </c>
      <c r="J796" s="219" t="s">
        <v>223</v>
      </c>
      <c r="K796" s="219" t="s">
        <v>473</v>
      </c>
      <c r="L796" s="214" t="s">
        <v>399</v>
      </c>
      <c r="M796" s="222">
        <v>2024.0</v>
      </c>
      <c r="N796" s="214" t="s">
        <v>400</v>
      </c>
      <c r="O796" s="223">
        <v>4.0</v>
      </c>
      <c r="P796" s="224">
        <f t="shared" si="1"/>
        <v>0.199119912</v>
      </c>
      <c r="Q796" s="214" t="str">
        <f t="shared" si="2"/>
        <v>Medium</v>
      </c>
    </row>
    <row r="797" ht="15.75" customHeight="1">
      <c r="A797" s="214" t="s">
        <v>1287</v>
      </c>
      <c r="B797" s="216">
        <v>2589.0</v>
      </c>
      <c r="C797" s="216">
        <v>605.0</v>
      </c>
      <c r="D797" s="217">
        <v>11.0</v>
      </c>
      <c r="E797" s="219" t="s">
        <v>242</v>
      </c>
      <c r="F797" s="219" t="s">
        <v>356</v>
      </c>
      <c r="G797" s="214" t="s">
        <v>406</v>
      </c>
      <c r="H797" s="221">
        <v>45232.0</v>
      </c>
      <c r="I797" s="219" t="s">
        <v>1288</v>
      </c>
      <c r="J797" s="219" t="s">
        <v>117</v>
      </c>
      <c r="K797" s="219" t="s">
        <v>508</v>
      </c>
      <c r="L797" s="214" t="s">
        <v>429</v>
      </c>
      <c r="M797" s="222">
        <v>2023.0</v>
      </c>
      <c r="N797" s="214" t="s">
        <v>425</v>
      </c>
      <c r="O797" s="223">
        <v>4.0</v>
      </c>
      <c r="P797" s="224">
        <f t="shared" si="1"/>
        <v>0.2336809579</v>
      </c>
      <c r="Q797" s="214" t="str">
        <f t="shared" si="2"/>
        <v>Medium</v>
      </c>
    </row>
    <row r="798" ht="15.75" customHeight="1">
      <c r="A798" s="214" t="s">
        <v>1287</v>
      </c>
      <c r="B798" s="216">
        <v>2589.0</v>
      </c>
      <c r="C798" s="216">
        <v>605.0</v>
      </c>
      <c r="D798" s="217">
        <v>11.0</v>
      </c>
      <c r="E798" s="219" t="s">
        <v>242</v>
      </c>
      <c r="F798" s="219" t="s">
        <v>356</v>
      </c>
      <c r="G798" s="214" t="s">
        <v>406</v>
      </c>
      <c r="H798" s="221">
        <v>45570.0</v>
      </c>
      <c r="I798" s="219" t="s">
        <v>1289</v>
      </c>
      <c r="J798" s="219" t="s">
        <v>313</v>
      </c>
      <c r="K798" s="219" t="s">
        <v>526</v>
      </c>
      <c r="L798" s="214" t="s">
        <v>485</v>
      </c>
      <c r="M798" s="222">
        <v>2024.0</v>
      </c>
      <c r="N798" s="214" t="s">
        <v>414</v>
      </c>
      <c r="O798" s="223">
        <v>4.0</v>
      </c>
      <c r="P798" s="224">
        <f t="shared" si="1"/>
        <v>0.2336809579</v>
      </c>
      <c r="Q798" s="214" t="str">
        <f t="shared" si="2"/>
        <v>Medium</v>
      </c>
    </row>
    <row r="799" ht="15.75" customHeight="1">
      <c r="A799" s="214" t="s">
        <v>1290</v>
      </c>
      <c r="B799" s="216">
        <v>3776.0</v>
      </c>
      <c r="C799" s="216">
        <v>1100.0</v>
      </c>
      <c r="D799" s="217">
        <v>9.0</v>
      </c>
      <c r="E799" s="219" t="s">
        <v>157</v>
      </c>
      <c r="F799" s="219" t="s">
        <v>355</v>
      </c>
      <c r="G799" s="214" t="s">
        <v>406</v>
      </c>
      <c r="H799" s="221">
        <v>44878.0</v>
      </c>
      <c r="I799" s="219" t="s">
        <v>1291</v>
      </c>
      <c r="J799" s="219" t="s">
        <v>241</v>
      </c>
      <c r="K799" s="219" t="s">
        <v>504</v>
      </c>
      <c r="L799" s="214" t="s">
        <v>424</v>
      </c>
      <c r="M799" s="222">
        <v>2022.0</v>
      </c>
      <c r="N799" s="214" t="s">
        <v>425</v>
      </c>
      <c r="O799" s="223">
        <v>4.0</v>
      </c>
      <c r="P799" s="224">
        <f t="shared" si="1"/>
        <v>0.2913135593</v>
      </c>
      <c r="Q799" s="214" t="str">
        <f t="shared" si="2"/>
        <v>Medium</v>
      </c>
    </row>
    <row r="800" ht="15.75" customHeight="1">
      <c r="A800" s="214" t="s">
        <v>1290</v>
      </c>
      <c r="B800" s="216">
        <v>3776.0</v>
      </c>
      <c r="C800" s="216">
        <v>1100.0</v>
      </c>
      <c r="D800" s="217">
        <v>9.0</v>
      </c>
      <c r="E800" s="219" t="s">
        <v>157</v>
      </c>
      <c r="F800" s="219" t="s">
        <v>355</v>
      </c>
      <c r="G800" s="214" t="s">
        <v>406</v>
      </c>
      <c r="H800" s="221">
        <v>44923.0</v>
      </c>
      <c r="I800" s="219" t="s">
        <v>1292</v>
      </c>
      <c r="J800" s="219" t="s">
        <v>271</v>
      </c>
      <c r="K800" s="219" t="s">
        <v>568</v>
      </c>
      <c r="L800" s="214" t="s">
        <v>464</v>
      </c>
      <c r="M800" s="222">
        <v>2022.0</v>
      </c>
      <c r="N800" s="214" t="s">
        <v>400</v>
      </c>
      <c r="O800" s="223">
        <v>4.0</v>
      </c>
      <c r="P800" s="224">
        <f t="shared" si="1"/>
        <v>0.2913135593</v>
      </c>
      <c r="Q800" s="214" t="str">
        <f t="shared" si="2"/>
        <v>Medium</v>
      </c>
    </row>
    <row r="801" ht="15.75" customHeight="1">
      <c r="A801" s="214" t="s">
        <v>1293</v>
      </c>
      <c r="B801" s="216">
        <v>5402.0</v>
      </c>
      <c r="C801" s="216">
        <v>1666.0</v>
      </c>
      <c r="D801" s="217">
        <v>12.0</v>
      </c>
      <c r="E801" s="219" t="s">
        <v>216</v>
      </c>
      <c r="F801" s="219" t="s">
        <v>361</v>
      </c>
      <c r="G801" s="214" t="s">
        <v>406</v>
      </c>
      <c r="H801" s="221">
        <v>45714.0</v>
      </c>
      <c r="I801" s="219" t="s">
        <v>1294</v>
      </c>
      <c r="J801" s="219" t="s">
        <v>313</v>
      </c>
      <c r="K801" s="219" t="s">
        <v>526</v>
      </c>
      <c r="L801" s="214" t="s">
        <v>488</v>
      </c>
      <c r="M801" s="222">
        <v>2025.0</v>
      </c>
      <c r="N801" s="214" t="s">
        <v>494</v>
      </c>
      <c r="O801" s="223">
        <v>1.0</v>
      </c>
      <c r="P801" s="224">
        <f t="shared" si="1"/>
        <v>0.3084042947</v>
      </c>
      <c r="Q801" s="214" t="str">
        <f t="shared" si="2"/>
        <v>High</v>
      </c>
    </row>
    <row r="802" ht="15.75" customHeight="1">
      <c r="A802" s="214" t="s">
        <v>1295</v>
      </c>
      <c r="B802" s="216">
        <v>5165.0</v>
      </c>
      <c r="C802" s="216">
        <v>885.0</v>
      </c>
      <c r="D802" s="217">
        <v>16.0</v>
      </c>
      <c r="E802" s="219" t="s">
        <v>242</v>
      </c>
      <c r="F802" s="219" t="s">
        <v>356</v>
      </c>
      <c r="G802" s="214" t="s">
        <v>406</v>
      </c>
      <c r="H802" s="221">
        <v>44877.0</v>
      </c>
      <c r="I802" s="219" t="s">
        <v>1296</v>
      </c>
      <c r="J802" s="219" t="s">
        <v>271</v>
      </c>
      <c r="K802" s="219" t="s">
        <v>568</v>
      </c>
      <c r="L802" s="214" t="s">
        <v>424</v>
      </c>
      <c r="M802" s="222">
        <v>2022.0</v>
      </c>
      <c r="N802" s="214" t="s">
        <v>425</v>
      </c>
      <c r="O802" s="223">
        <v>4.0</v>
      </c>
      <c r="P802" s="224">
        <f t="shared" si="1"/>
        <v>0.1713455954</v>
      </c>
      <c r="Q802" s="214" t="str">
        <f t="shared" si="2"/>
        <v>High</v>
      </c>
    </row>
    <row r="803" ht="15.75" customHeight="1">
      <c r="A803" s="214" t="s">
        <v>1295</v>
      </c>
      <c r="B803" s="216">
        <v>4863.0</v>
      </c>
      <c r="C803" s="216">
        <v>2394.0</v>
      </c>
      <c r="D803" s="217">
        <v>4.0</v>
      </c>
      <c r="E803" s="219" t="s">
        <v>216</v>
      </c>
      <c r="F803" s="219" t="s">
        <v>361</v>
      </c>
      <c r="G803" s="214" t="s">
        <v>406</v>
      </c>
      <c r="H803" s="221">
        <v>44877.0</v>
      </c>
      <c r="I803" s="219" t="s">
        <v>1296</v>
      </c>
      <c r="J803" s="219" t="s">
        <v>271</v>
      </c>
      <c r="K803" s="219" t="s">
        <v>568</v>
      </c>
      <c r="L803" s="214" t="s">
        <v>424</v>
      </c>
      <c r="M803" s="222">
        <v>2022.0</v>
      </c>
      <c r="N803" s="214" t="s">
        <v>425</v>
      </c>
      <c r="O803" s="223">
        <v>4.0</v>
      </c>
      <c r="P803" s="224">
        <f t="shared" si="1"/>
        <v>0.4922887107</v>
      </c>
      <c r="Q803" s="214" t="str">
        <f t="shared" si="2"/>
        <v>Medium</v>
      </c>
    </row>
    <row r="804" ht="15.75" customHeight="1">
      <c r="A804" s="214" t="s">
        <v>1297</v>
      </c>
      <c r="B804" s="216">
        <v>1626.0</v>
      </c>
      <c r="C804" s="216">
        <v>258.0</v>
      </c>
      <c r="D804" s="217">
        <v>15.0</v>
      </c>
      <c r="E804" s="219" t="s">
        <v>242</v>
      </c>
      <c r="F804" s="219" t="s">
        <v>356</v>
      </c>
      <c r="G804" s="214" t="s">
        <v>406</v>
      </c>
      <c r="H804" s="221">
        <v>44354.0</v>
      </c>
      <c r="I804" s="219" t="s">
        <v>1298</v>
      </c>
      <c r="J804" s="219" t="s">
        <v>159</v>
      </c>
      <c r="K804" s="219" t="s">
        <v>409</v>
      </c>
      <c r="L804" s="214" t="s">
        <v>444</v>
      </c>
      <c r="M804" s="222">
        <v>2021.0</v>
      </c>
      <c r="N804" s="214" t="s">
        <v>396</v>
      </c>
      <c r="O804" s="223">
        <v>2.0</v>
      </c>
      <c r="P804" s="224">
        <f t="shared" si="1"/>
        <v>0.1586715867</v>
      </c>
      <c r="Q804" s="214" t="str">
        <f t="shared" si="2"/>
        <v>Medium</v>
      </c>
    </row>
    <row r="805" ht="15.75" customHeight="1">
      <c r="A805" s="214" t="s">
        <v>1299</v>
      </c>
      <c r="B805" s="216">
        <v>8851.0</v>
      </c>
      <c r="C805" s="216">
        <v>3962.0</v>
      </c>
      <c r="D805" s="217">
        <v>7.0</v>
      </c>
      <c r="E805" s="219" t="s">
        <v>216</v>
      </c>
      <c r="F805" s="219" t="s">
        <v>344</v>
      </c>
      <c r="G805" s="214" t="s">
        <v>406</v>
      </c>
      <c r="H805" s="221">
        <v>44100.0</v>
      </c>
      <c r="I805" s="219" t="s">
        <v>1300</v>
      </c>
      <c r="J805" s="219" t="s">
        <v>159</v>
      </c>
      <c r="K805" s="219" t="s">
        <v>394</v>
      </c>
      <c r="L805" s="214" t="s">
        <v>434</v>
      </c>
      <c r="M805" s="222">
        <v>2020.0</v>
      </c>
      <c r="N805" s="214" t="s">
        <v>536</v>
      </c>
      <c r="O805" s="223">
        <v>3.0</v>
      </c>
      <c r="P805" s="224">
        <f t="shared" si="1"/>
        <v>0.4476330358</v>
      </c>
      <c r="Q805" s="214" t="str">
        <f t="shared" si="2"/>
        <v>High</v>
      </c>
    </row>
    <row r="806" ht="15.75" customHeight="1">
      <c r="A806" s="214" t="s">
        <v>1301</v>
      </c>
      <c r="B806" s="216">
        <v>9680.0</v>
      </c>
      <c r="C806" s="216">
        <v>3295.0</v>
      </c>
      <c r="D806" s="217">
        <v>9.0</v>
      </c>
      <c r="E806" s="219" t="s">
        <v>216</v>
      </c>
      <c r="F806" s="219" t="s">
        <v>344</v>
      </c>
      <c r="G806" s="214" t="s">
        <v>405</v>
      </c>
      <c r="H806" s="221">
        <v>45411.0</v>
      </c>
      <c r="I806" s="219" t="s">
        <v>1302</v>
      </c>
      <c r="J806" s="219" t="s">
        <v>223</v>
      </c>
      <c r="K806" s="219" t="s">
        <v>473</v>
      </c>
      <c r="L806" s="214" t="s">
        <v>480</v>
      </c>
      <c r="M806" s="222">
        <v>2024.0</v>
      </c>
      <c r="N806" s="214" t="s">
        <v>542</v>
      </c>
      <c r="O806" s="223">
        <v>2.0</v>
      </c>
      <c r="P806" s="224">
        <f t="shared" si="1"/>
        <v>0.340392562</v>
      </c>
      <c r="Q806" s="214" t="str">
        <f t="shared" si="2"/>
        <v>High</v>
      </c>
    </row>
    <row r="807" ht="15.75" customHeight="1">
      <c r="A807" s="214" t="s">
        <v>1301</v>
      </c>
      <c r="B807" s="216">
        <v>8468.0</v>
      </c>
      <c r="C807" s="216">
        <v>3666.0</v>
      </c>
      <c r="D807" s="217">
        <v>8.0</v>
      </c>
      <c r="E807" s="219" t="s">
        <v>242</v>
      </c>
      <c r="F807" s="219" t="s">
        <v>356</v>
      </c>
      <c r="G807" s="214" t="s">
        <v>392</v>
      </c>
      <c r="H807" s="221">
        <v>45411.0</v>
      </c>
      <c r="I807" s="219" t="s">
        <v>1302</v>
      </c>
      <c r="J807" s="219" t="s">
        <v>223</v>
      </c>
      <c r="K807" s="219" t="s">
        <v>473</v>
      </c>
      <c r="L807" s="214" t="s">
        <v>480</v>
      </c>
      <c r="M807" s="222">
        <v>2024.0</v>
      </c>
      <c r="N807" s="214" t="s">
        <v>542</v>
      </c>
      <c r="O807" s="223">
        <v>2.0</v>
      </c>
      <c r="P807" s="224">
        <f t="shared" si="1"/>
        <v>0.432923949</v>
      </c>
      <c r="Q807" s="214" t="str">
        <f t="shared" si="2"/>
        <v>High</v>
      </c>
    </row>
    <row r="808" ht="15.75" customHeight="1">
      <c r="A808" s="214" t="s">
        <v>1301</v>
      </c>
      <c r="B808" s="216">
        <v>4441.0</v>
      </c>
      <c r="C808" s="216">
        <v>314.0</v>
      </c>
      <c r="D808" s="217">
        <v>14.0</v>
      </c>
      <c r="E808" s="219" t="s">
        <v>216</v>
      </c>
      <c r="F808" s="219" t="s">
        <v>359</v>
      </c>
      <c r="G808" s="214" t="s">
        <v>351</v>
      </c>
      <c r="H808" s="221">
        <v>45411.0</v>
      </c>
      <c r="I808" s="219" t="s">
        <v>1302</v>
      </c>
      <c r="J808" s="219" t="s">
        <v>223</v>
      </c>
      <c r="K808" s="219" t="s">
        <v>473</v>
      </c>
      <c r="L808" s="214" t="s">
        <v>480</v>
      </c>
      <c r="M808" s="222">
        <v>2024.0</v>
      </c>
      <c r="N808" s="214" t="s">
        <v>542</v>
      </c>
      <c r="O808" s="223">
        <v>2.0</v>
      </c>
      <c r="P808" s="224">
        <f t="shared" si="1"/>
        <v>0.07070479622</v>
      </c>
      <c r="Q808" s="214" t="str">
        <f t="shared" si="2"/>
        <v>Medium</v>
      </c>
    </row>
    <row r="809" ht="15.75" customHeight="1">
      <c r="A809" s="214" t="s">
        <v>1303</v>
      </c>
      <c r="B809" s="216">
        <v>6622.0</v>
      </c>
      <c r="C809" s="216">
        <v>2673.0</v>
      </c>
      <c r="D809" s="217">
        <v>8.0</v>
      </c>
      <c r="E809" s="219" t="s">
        <v>216</v>
      </c>
      <c r="F809" s="219" t="s">
        <v>347</v>
      </c>
      <c r="G809" s="214" t="s">
        <v>405</v>
      </c>
      <c r="H809" s="221">
        <v>45392.0</v>
      </c>
      <c r="I809" s="219" t="s">
        <v>1304</v>
      </c>
      <c r="J809" s="219" t="s">
        <v>223</v>
      </c>
      <c r="K809" s="219" t="s">
        <v>428</v>
      </c>
      <c r="L809" s="214" t="s">
        <v>480</v>
      </c>
      <c r="M809" s="222">
        <v>2024.0</v>
      </c>
      <c r="N809" s="214" t="s">
        <v>542</v>
      </c>
      <c r="O809" s="223">
        <v>2.0</v>
      </c>
      <c r="P809" s="224">
        <f t="shared" si="1"/>
        <v>0.403654485</v>
      </c>
      <c r="Q809" s="214" t="str">
        <f t="shared" si="2"/>
        <v>High</v>
      </c>
    </row>
    <row r="810" ht="15.75" customHeight="1">
      <c r="A810" s="214" t="s">
        <v>1305</v>
      </c>
      <c r="B810" s="216">
        <v>3260.0</v>
      </c>
      <c r="C810" s="216">
        <v>207.0</v>
      </c>
      <c r="D810" s="217">
        <v>17.0</v>
      </c>
      <c r="E810" s="219" t="s">
        <v>216</v>
      </c>
      <c r="F810" s="219" t="s">
        <v>344</v>
      </c>
      <c r="G810" s="214" t="s">
        <v>392</v>
      </c>
      <c r="H810" s="221">
        <v>45281.0</v>
      </c>
      <c r="I810" s="219" t="s">
        <v>1306</v>
      </c>
      <c r="J810" s="219" t="s">
        <v>117</v>
      </c>
      <c r="K810" s="219" t="s">
        <v>496</v>
      </c>
      <c r="L810" s="214" t="s">
        <v>476</v>
      </c>
      <c r="M810" s="222">
        <v>2023.0</v>
      </c>
      <c r="N810" s="214" t="s">
        <v>400</v>
      </c>
      <c r="O810" s="223">
        <v>4.0</v>
      </c>
      <c r="P810" s="224">
        <f t="shared" si="1"/>
        <v>0.06349693252</v>
      </c>
      <c r="Q810" s="214" t="str">
        <f t="shared" si="2"/>
        <v>Medium</v>
      </c>
    </row>
    <row r="811" ht="15.75" customHeight="1">
      <c r="A811" s="214" t="s">
        <v>1307</v>
      </c>
      <c r="B811" s="216">
        <v>8709.0</v>
      </c>
      <c r="C811" s="216">
        <v>2322.0</v>
      </c>
      <c r="D811" s="217">
        <v>8.0</v>
      </c>
      <c r="E811" s="219" t="s">
        <v>216</v>
      </c>
      <c r="F811" s="219" t="s">
        <v>344</v>
      </c>
      <c r="G811" s="214" t="s">
        <v>351</v>
      </c>
      <c r="H811" s="221">
        <v>45414.0</v>
      </c>
      <c r="I811" s="219" t="s">
        <v>1308</v>
      </c>
      <c r="J811" s="219" t="s">
        <v>241</v>
      </c>
      <c r="K811" s="219" t="s">
        <v>504</v>
      </c>
      <c r="L811" s="214" t="s">
        <v>410</v>
      </c>
      <c r="M811" s="222">
        <v>2024.0</v>
      </c>
      <c r="N811" s="214" t="s">
        <v>411</v>
      </c>
      <c r="O811" s="223">
        <v>2.0</v>
      </c>
      <c r="P811" s="224">
        <f t="shared" si="1"/>
        <v>0.2666207372</v>
      </c>
      <c r="Q811" s="214" t="str">
        <f t="shared" si="2"/>
        <v>High</v>
      </c>
    </row>
    <row r="812" ht="15.75" customHeight="1">
      <c r="A812" s="214" t="s">
        <v>1307</v>
      </c>
      <c r="B812" s="216">
        <v>8709.0</v>
      </c>
      <c r="C812" s="216">
        <v>2322.0</v>
      </c>
      <c r="D812" s="217">
        <v>8.0</v>
      </c>
      <c r="E812" s="219" t="s">
        <v>216</v>
      </c>
      <c r="F812" s="219" t="s">
        <v>344</v>
      </c>
      <c r="G812" s="214" t="s">
        <v>351</v>
      </c>
      <c r="H812" s="221">
        <v>45617.0</v>
      </c>
      <c r="I812" s="219" t="s">
        <v>1309</v>
      </c>
      <c r="J812" s="219" t="s">
        <v>117</v>
      </c>
      <c r="K812" s="219" t="s">
        <v>508</v>
      </c>
      <c r="L812" s="214" t="s">
        <v>486</v>
      </c>
      <c r="M812" s="222">
        <v>2024.0</v>
      </c>
      <c r="N812" s="214" t="s">
        <v>425</v>
      </c>
      <c r="O812" s="223">
        <v>4.0</v>
      </c>
      <c r="P812" s="224">
        <f t="shared" si="1"/>
        <v>0.2666207372</v>
      </c>
      <c r="Q812" s="214" t="str">
        <f t="shared" si="2"/>
        <v>High</v>
      </c>
    </row>
    <row r="813" ht="15.75" customHeight="1">
      <c r="A813" s="214" t="s">
        <v>1310</v>
      </c>
      <c r="B813" s="216">
        <v>5250.0</v>
      </c>
      <c r="C813" s="216">
        <v>187.0</v>
      </c>
      <c r="D813" s="217">
        <v>1.0</v>
      </c>
      <c r="E813" s="219" t="s">
        <v>242</v>
      </c>
      <c r="F813" s="219" t="s">
        <v>362</v>
      </c>
      <c r="G813" s="214" t="s">
        <v>405</v>
      </c>
      <c r="H813" s="221">
        <v>44637.0</v>
      </c>
      <c r="I813" s="219" t="s">
        <v>1311</v>
      </c>
      <c r="J813" s="219" t="s">
        <v>313</v>
      </c>
      <c r="K813" s="219" t="s">
        <v>518</v>
      </c>
      <c r="L813" s="214" t="s">
        <v>455</v>
      </c>
      <c r="M813" s="222">
        <v>2022.0</v>
      </c>
      <c r="N813" s="214" t="s">
        <v>433</v>
      </c>
      <c r="O813" s="223">
        <v>1.0</v>
      </c>
      <c r="P813" s="224">
        <f t="shared" si="1"/>
        <v>0.03561904762</v>
      </c>
      <c r="Q813" s="214" t="str">
        <f t="shared" si="2"/>
        <v>High</v>
      </c>
    </row>
    <row r="814" ht="15.75" customHeight="1">
      <c r="A814" s="214" t="s">
        <v>1310</v>
      </c>
      <c r="B814" s="216">
        <v>5250.0</v>
      </c>
      <c r="C814" s="216">
        <v>187.0</v>
      </c>
      <c r="D814" s="217">
        <v>1.0</v>
      </c>
      <c r="E814" s="219" t="s">
        <v>242</v>
      </c>
      <c r="F814" s="219" t="s">
        <v>362</v>
      </c>
      <c r="G814" s="214" t="s">
        <v>405</v>
      </c>
      <c r="H814" s="221">
        <v>45060.0</v>
      </c>
      <c r="I814" s="219" t="s">
        <v>1312</v>
      </c>
      <c r="J814" s="219" t="s">
        <v>241</v>
      </c>
      <c r="K814" s="219" t="s">
        <v>541</v>
      </c>
      <c r="L814" s="214" t="s">
        <v>469</v>
      </c>
      <c r="M814" s="222">
        <v>2023.0</v>
      </c>
      <c r="N814" s="214" t="s">
        <v>411</v>
      </c>
      <c r="O814" s="223">
        <v>2.0</v>
      </c>
      <c r="P814" s="224">
        <f t="shared" si="1"/>
        <v>0.03561904762</v>
      </c>
      <c r="Q814" s="214" t="str">
        <f t="shared" si="2"/>
        <v>High</v>
      </c>
    </row>
    <row r="815" ht="15.75" customHeight="1">
      <c r="A815" s="214" t="s">
        <v>1313</v>
      </c>
      <c r="B815" s="216">
        <v>4116.0</v>
      </c>
      <c r="C815" s="216">
        <v>921.0</v>
      </c>
      <c r="D815" s="217">
        <v>20.0</v>
      </c>
      <c r="E815" s="219" t="s">
        <v>242</v>
      </c>
      <c r="F815" s="219" t="s">
        <v>357</v>
      </c>
      <c r="G815" s="214" t="s">
        <v>392</v>
      </c>
      <c r="H815" s="221">
        <v>45572.0</v>
      </c>
      <c r="I815" s="219" t="s">
        <v>1314</v>
      </c>
      <c r="J815" s="219" t="s">
        <v>117</v>
      </c>
      <c r="K815" s="219" t="s">
        <v>423</v>
      </c>
      <c r="L815" s="214" t="s">
        <v>485</v>
      </c>
      <c r="M815" s="222">
        <v>2024.0</v>
      </c>
      <c r="N815" s="214" t="s">
        <v>414</v>
      </c>
      <c r="O815" s="223">
        <v>4.0</v>
      </c>
      <c r="P815" s="224">
        <f t="shared" si="1"/>
        <v>0.2237609329</v>
      </c>
      <c r="Q815" s="214" t="str">
        <f t="shared" si="2"/>
        <v>Medium</v>
      </c>
    </row>
    <row r="816" ht="15.75" customHeight="1">
      <c r="A816" s="214" t="s">
        <v>1313</v>
      </c>
      <c r="B816" s="216">
        <v>4116.0</v>
      </c>
      <c r="C816" s="216">
        <v>921.0</v>
      </c>
      <c r="D816" s="217">
        <v>20.0</v>
      </c>
      <c r="E816" s="219" t="s">
        <v>242</v>
      </c>
      <c r="F816" s="219" t="s">
        <v>357</v>
      </c>
      <c r="G816" s="214" t="s">
        <v>392</v>
      </c>
      <c r="H816" s="221">
        <v>44082.0</v>
      </c>
      <c r="I816" s="219" t="s">
        <v>1315</v>
      </c>
      <c r="J816" s="219" t="s">
        <v>271</v>
      </c>
      <c r="K816" s="219" t="s">
        <v>449</v>
      </c>
      <c r="L816" s="214" t="s">
        <v>434</v>
      </c>
      <c r="M816" s="222">
        <v>2020.0</v>
      </c>
      <c r="N816" s="214" t="s">
        <v>536</v>
      </c>
      <c r="O816" s="223">
        <v>3.0</v>
      </c>
      <c r="P816" s="224">
        <f t="shared" si="1"/>
        <v>0.2237609329</v>
      </c>
      <c r="Q816" s="214" t="str">
        <f t="shared" si="2"/>
        <v>Medium</v>
      </c>
    </row>
    <row r="817" ht="15.75" customHeight="1">
      <c r="A817" s="214" t="s">
        <v>1316</v>
      </c>
      <c r="B817" s="216">
        <v>1109.0</v>
      </c>
      <c r="C817" s="216">
        <v>418.0</v>
      </c>
      <c r="D817" s="217">
        <v>15.0</v>
      </c>
      <c r="E817" s="219" t="s">
        <v>242</v>
      </c>
      <c r="F817" s="219" t="s">
        <v>357</v>
      </c>
      <c r="G817" s="214" t="s">
        <v>392</v>
      </c>
      <c r="H817" s="221">
        <v>44427.0</v>
      </c>
      <c r="I817" s="219" t="s">
        <v>1317</v>
      </c>
      <c r="J817" s="219" t="s">
        <v>117</v>
      </c>
      <c r="K817" s="219" t="s">
        <v>423</v>
      </c>
      <c r="L817" s="214" t="s">
        <v>445</v>
      </c>
      <c r="M817" s="222">
        <v>2021.0</v>
      </c>
      <c r="N817" s="214" t="s">
        <v>523</v>
      </c>
      <c r="O817" s="223">
        <v>3.0</v>
      </c>
      <c r="P817" s="224">
        <f t="shared" si="1"/>
        <v>0.3769161407</v>
      </c>
      <c r="Q817" s="214" t="str">
        <f t="shared" si="2"/>
        <v>Medium</v>
      </c>
    </row>
    <row r="818" ht="15.75" customHeight="1">
      <c r="A818" s="214" t="s">
        <v>1318</v>
      </c>
      <c r="B818" s="216">
        <v>3573.0</v>
      </c>
      <c r="C818" s="216">
        <v>562.0</v>
      </c>
      <c r="D818" s="217">
        <v>7.0</v>
      </c>
      <c r="E818" s="219" t="s">
        <v>242</v>
      </c>
      <c r="F818" s="219" t="s">
        <v>356</v>
      </c>
      <c r="G818" s="214" t="s">
        <v>406</v>
      </c>
      <c r="H818" s="221">
        <v>44846.0</v>
      </c>
      <c r="I818" s="219" t="s">
        <v>825</v>
      </c>
      <c r="J818" s="219" t="s">
        <v>223</v>
      </c>
      <c r="K818" s="219" t="s">
        <v>473</v>
      </c>
      <c r="L818" s="214" t="s">
        <v>463</v>
      </c>
      <c r="M818" s="222">
        <v>2022.0</v>
      </c>
      <c r="N818" s="214" t="s">
        <v>414</v>
      </c>
      <c r="O818" s="223">
        <v>4.0</v>
      </c>
      <c r="P818" s="224">
        <f t="shared" si="1"/>
        <v>0.1572907921</v>
      </c>
      <c r="Q818" s="214" t="str">
        <f t="shared" si="2"/>
        <v>Medium</v>
      </c>
    </row>
    <row r="819" ht="15.75" customHeight="1">
      <c r="A819" s="214" t="s">
        <v>1318</v>
      </c>
      <c r="B819" s="216">
        <v>3573.0</v>
      </c>
      <c r="C819" s="216">
        <v>562.0</v>
      </c>
      <c r="D819" s="217">
        <v>7.0</v>
      </c>
      <c r="E819" s="219" t="s">
        <v>242</v>
      </c>
      <c r="F819" s="219" t="s">
        <v>356</v>
      </c>
      <c r="G819" s="214" t="s">
        <v>406</v>
      </c>
      <c r="H819" s="221">
        <v>43974.0</v>
      </c>
      <c r="I819" s="219" t="s">
        <v>1319</v>
      </c>
      <c r="J819" s="219" t="s">
        <v>117</v>
      </c>
      <c r="K819" s="219" t="s">
        <v>496</v>
      </c>
      <c r="L819" s="214" t="s">
        <v>419</v>
      </c>
      <c r="M819" s="222">
        <v>2020.0</v>
      </c>
      <c r="N819" s="214" t="s">
        <v>411</v>
      </c>
      <c r="O819" s="223">
        <v>2.0</v>
      </c>
      <c r="P819" s="224">
        <f t="shared" si="1"/>
        <v>0.1572907921</v>
      </c>
      <c r="Q819" s="214" t="str">
        <f t="shared" si="2"/>
        <v>Medium</v>
      </c>
    </row>
    <row r="820" ht="15.75" customHeight="1">
      <c r="A820" s="214" t="s">
        <v>1318</v>
      </c>
      <c r="B820" s="216">
        <v>3573.0</v>
      </c>
      <c r="C820" s="216">
        <v>562.0</v>
      </c>
      <c r="D820" s="217">
        <v>7.0</v>
      </c>
      <c r="E820" s="219" t="s">
        <v>242</v>
      </c>
      <c r="F820" s="219" t="s">
        <v>356</v>
      </c>
      <c r="G820" s="214" t="s">
        <v>406</v>
      </c>
      <c r="H820" s="221">
        <v>43939.0</v>
      </c>
      <c r="I820" s="219" t="s">
        <v>1320</v>
      </c>
      <c r="J820" s="219" t="s">
        <v>159</v>
      </c>
      <c r="K820" s="219" t="s">
        <v>552</v>
      </c>
      <c r="L820" s="214" t="s">
        <v>418</v>
      </c>
      <c r="M820" s="222">
        <v>2020.0</v>
      </c>
      <c r="N820" s="214" t="s">
        <v>542</v>
      </c>
      <c r="O820" s="223">
        <v>2.0</v>
      </c>
      <c r="P820" s="224">
        <f t="shared" si="1"/>
        <v>0.1572907921</v>
      </c>
      <c r="Q820" s="214" t="str">
        <f t="shared" si="2"/>
        <v>Medium</v>
      </c>
    </row>
    <row r="821" ht="15.75" customHeight="1">
      <c r="A821" s="214" t="s">
        <v>1318</v>
      </c>
      <c r="B821" s="216">
        <v>8055.0</v>
      </c>
      <c r="C821" s="216">
        <v>661.0</v>
      </c>
      <c r="D821" s="217">
        <v>10.0</v>
      </c>
      <c r="E821" s="219" t="s">
        <v>157</v>
      </c>
      <c r="F821" s="219" t="s">
        <v>358</v>
      </c>
      <c r="G821" s="214" t="s">
        <v>406</v>
      </c>
      <c r="H821" s="221">
        <v>44846.0</v>
      </c>
      <c r="I821" s="219" t="s">
        <v>825</v>
      </c>
      <c r="J821" s="219" t="s">
        <v>223</v>
      </c>
      <c r="K821" s="219" t="s">
        <v>473</v>
      </c>
      <c r="L821" s="214" t="s">
        <v>463</v>
      </c>
      <c r="M821" s="222">
        <v>2022.0</v>
      </c>
      <c r="N821" s="214" t="s">
        <v>414</v>
      </c>
      <c r="O821" s="223">
        <v>4.0</v>
      </c>
      <c r="P821" s="224">
        <f t="shared" si="1"/>
        <v>0.08206083178</v>
      </c>
      <c r="Q821" s="214" t="str">
        <f t="shared" si="2"/>
        <v>High</v>
      </c>
    </row>
    <row r="822" ht="15.75" customHeight="1">
      <c r="A822" s="214" t="s">
        <v>1318</v>
      </c>
      <c r="B822" s="216">
        <v>8055.0</v>
      </c>
      <c r="C822" s="216">
        <v>661.0</v>
      </c>
      <c r="D822" s="217">
        <v>10.0</v>
      </c>
      <c r="E822" s="219" t="s">
        <v>157</v>
      </c>
      <c r="F822" s="219" t="s">
        <v>358</v>
      </c>
      <c r="G822" s="214" t="s">
        <v>406</v>
      </c>
      <c r="H822" s="221">
        <v>43974.0</v>
      </c>
      <c r="I822" s="219" t="s">
        <v>1319</v>
      </c>
      <c r="J822" s="219" t="s">
        <v>117</v>
      </c>
      <c r="K822" s="219" t="s">
        <v>496</v>
      </c>
      <c r="L822" s="214" t="s">
        <v>419</v>
      </c>
      <c r="M822" s="222">
        <v>2020.0</v>
      </c>
      <c r="N822" s="214" t="s">
        <v>411</v>
      </c>
      <c r="O822" s="223">
        <v>2.0</v>
      </c>
      <c r="P822" s="224">
        <f t="shared" si="1"/>
        <v>0.08206083178</v>
      </c>
      <c r="Q822" s="214" t="str">
        <f t="shared" si="2"/>
        <v>High</v>
      </c>
    </row>
    <row r="823" ht="15.75" customHeight="1">
      <c r="A823" s="214" t="s">
        <v>1318</v>
      </c>
      <c r="B823" s="216">
        <v>8055.0</v>
      </c>
      <c r="C823" s="216">
        <v>661.0</v>
      </c>
      <c r="D823" s="217">
        <v>10.0</v>
      </c>
      <c r="E823" s="219" t="s">
        <v>157</v>
      </c>
      <c r="F823" s="219" t="s">
        <v>358</v>
      </c>
      <c r="G823" s="214" t="s">
        <v>406</v>
      </c>
      <c r="H823" s="221">
        <v>43939.0</v>
      </c>
      <c r="I823" s="219" t="s">
        <v>1320</v>
      </c>
      <c r="J823" s="219" t="s">
        <v>159</v>
      </c>
      <c r="K823" s="219" t="s">
        <v>552</v>
      </c>
      <c r="L823" s="214" t="s">
        <v>418</v>
      </c>
      <c r="M823" s="222">
        <v>2020.0</v>
      </c>
      <c r="N823" s="214" t="s">
        <v>542</v>
      </c>
      <c r="O823" s="223">
        <v>2.0</v>
      </c>
      <c r="P823" s="224">
        <f t="shared" si="1"/>
        <v>0.08206083178</v>
      </c>
      <c r="Q823" s="214" t="str">
        <f t="shared" si="2"/>
        <v>High</v>
      </c>
    </row>
    <row r="824" ht="15.75" customHeight="1">
      <c r="A824" s="214" t="s">
        <v>1321</v>
      </c>
      <c r="B824" s="216">
        <v>6829.0</v>
      </c>
      <c r="C824" s="216">
        <v>2609.0</v>
      </c>
      <c r="D824" s="217">
        <v>2.0</v>
      </c>
      <c r="E824" s="219" t="s">
        <v>157</v>
      </c>
      <c r="F824" s="219" t="s">
        <v>360</v>
      </c>
      <c r="G824" s="214" t="s">
        <v>406</v>
      </c>
      <c r="H824" s="221">
        <v>44716.0</v>
      </c>
      <c r="I824" s="219" t="s">
        <v>1322</v>
      </c>
      <c r="J824" s="219" t="s">
        <v>117</v>
      </c>
      <c r="K824" s="219" t="s">
        <v>508</v>
      </c>
      <c r="L824" s="214" t="s">
        <v>458</v>
      </c>
      <c r="M824" s="222">
        <v>2022.0</v>
      </c>
      <c r="N824" s="214" t="s">
        <v>396</v>
      </c>
      <c r="O824" s="223">
        <v>2.0</v>
      </c>
      <c r="P824" s="224">
        <f t="shared" si="1"/>
        <v>0.3820471519</v>
      </c>
      <c r="Q824" s="214" t="str">
        <f t="shared" si="2"/>
        <v>High</v>
      </c>
    </row>
    <row r="825" ht="15.75" customHeight="1">
      <c r="A825" s="214" t="s">
        <v>1321</v>
      </c>
      <c r="B825" s="216">
        <v>6390.0</v>
      </c>
      <c r="C825" s="216">
        <v>3089.0</v>
      </c>
      <c r="D825" s="217">
        <v>12.0</v>
      </c>
      <c r="E825" s="219" t="s">
        <v>242</v>
      </c>
      <c r="F825" s="219" t="s">
        <v>357</v>
      </c>
      <c r="G825" s="214" t="s">
        <v>405</v>
      </c>
      <c r="H825" s="221">
        <v>44716.0</v>
      </c>
      <c r="I825" s="219" t="s">
        <v>1322</v>
      </c>
      <c r="J825" s="219" t="s">
        <v>117</v>
      </c>
      <c r="K825" s="219" t="s">
        <v>508</v>
      </c>
      <c r="L825" s="214" t="s">
        <v>458</v>
      </c>
      <c r="M825" s="222">
        <v>2022.0</v>
      </c>
      <c r="N825" s="214" t="s">
        <v>396</v>
      </c>
      <c r="O825" s="223">
        <v>2.0</v>
      </c>
      <c r="P825" s="224">
        <f t="shared" si="1"/>
        <v>0.4834115806</v>
      </c>
      <c r="Q825" s="214" t="str">
        <f t="shared" si="2"/>
        <v>High</v>
      </c>
    </row>
    <row r="826" ht="15.75" customHeight="1">
      <c r="A826" s="214" t="s">
        <v>1323</v>
      </c>
      <c r="B826" s="216">
        <v>5831.0</v>
      </c>
      <c r="C826" s="216">
        <v>1574.0</v>
      </c>
      <c r="D826" s="217">
        <v>17.0</v>
      </c>
      <c r="E826" s="219" t="s">
        <v>242</v>
      </c>
      <c r="F826" s="219" t="s">
        <v>356</v>
      </c>
      <c r="G826" s="214" t="s">
        <v>351</v>
      </c>
      <c r="H826" s="221">
        <v>44881.0</v>
      </c>
      <c r="I826" s="219" t="s">
        <v>1324</v>
      </c>
      <c r="J826" s="219" t="s">
        <v>117</v>
      </c>
      <c r="K826" s="219" t="s">
        <v>508</v>
      </c>
      <c r="L826" s="214" t="s">
        <v>424</v>
      </c>
      <c r="M826" s="222">
        <v>2022.0</v>
      </c>
      <c r="N826" s="214" t="s">
        <v>425</v>
      </c>
      <c r="O826" s="223">
        <v>4.0</v>
      </c>
      <c r="P826" s="224">
        <f t="shared" si="1"/>
        <v>0.269936546</v>
      </c>
      <c r="Q826" s="214" t="str">
        <f t="shared" si="2"/>
        <v>High</v>
      </c>
    </row>
    <row r="827" ht="15.75" customHeight="1">
      <c r="A827" s="214" t="s">
        <v>1323</v>
      </c>
      <c r="B827" s="216">
        <v>5831.0</v>
      </c>
      <c r="C827" s="216">
        <v>1574.0</v>
      </c>
      <c r="D827" s="217">
        <v>17.0</v>
      </c>
      <c r="E827" s="219" t="s">
        <v>242</v>
      </c>
      <c r="F827" s="219" t="s">
        <v>356</v>
      </c>
      <c r="G827" s="214" t="s">
        <v>351</v>
      </c>
      <c r="H827" s="221">
        <v>45491.0</v>
      </c>
      <c r="I827" s="219" t="s">
        <v>1325</v>
      </c>
      <c r="J827" s="219" t="s">
        <v>117</v>
      </c>
      <c r="K827" s="219" t="s">
        <v>496</v>
      </c>
      <c r="L827" s="214" t="s">
        <v>482</v>
      </c>
      <c r="M827" s="222">
        <v>2024.0</v>
      </c>
      <c r="N827" s="214" t="s">
        <v>404</v>
      </c>
      <c r="O827" s="223">
        <v>3.0</v>
      </c>
      <c r="P827" s="224">
        <f t="shared" si="1"/>
        <v>0.269936546</v>
      </c>
      <c r="Q827" s="214" t="str">
        <f t="shared" si="2"/>
        <v>High</v>
      </c>
    </row>
    <row r="828" ht="15.75" customHeight="1">
      <c r="A828" s="214" t="s">
        <v>1323</v>
      </c>
      <c r="B828" s="216">
        <v>5831.0</v>
      </c>
      <c r="C828" s="216">
        <v>1574.0</v>
      </c>
      <c r="D828" s="217">
        <v>17.0</v>
      </c>
      <c r="E828" s="219" t="s">
        <v>242</v>
      </c>
      <c r="F828" s="219" t="s">
        <v>356</v>
      </c>
      <c r="G828" s="214" t="s">
        <v>351</v>
      </c>
      <c r="H828" s="221">
        <v>45123.0</v>
      </c>
      <c r="I828" s="219" t="s">
        <v>1326</v>
      </c>
      <c r="J828" s="219" t="s">
        <v>159</v>
      </c>
      <c r="K828" s="219" t="s">
        <v>394</v>
      </c>
      <c r="L828" s="214" t="s">
        <v>471</v>
      </c>
      <c r="M828" s="222">
        <v>2023.0</v>
      </c>
      <c r="N828" s="214" t="s">
        <v>404</v>
      </c>
      <c r="O828" s="223">
        <v>3.0</v>
      </c>
      <c r="P828" s="224">
        <f t="shared" si="1"/>
        <v>0.269936546</v>
      </c>
      <c r="Q828" s="214" t="str">
        <f t="shared" si="2"/>
        <v>High</v>
      </c>
    </row>
    <row r="829" ht="15.75" customHeight="1">
      <c r="A829" s="214" t="s">
        <v>1327</v>
      </c>
      <c r="B829" s="216">
        <v>7952.0</v>
      </c>
      <c r="C829" s="216">
        <v>3865.0</v>
      </c>
      <c r="D829" s="217">
        <v>8.0</v>
      </c>
      <c r="E829" s="219" t="s">
        <v>216</v>
      </c>
      <c r="F829" s="219" t="s">
        <v>347</v>
      </c>
      <c r="G829" s="214" t="s">
        <v>351</v>
      </c>
      <c r="H829" s="221">
        <v>44053.0</v>
      </c>
      <c r="I829" s="219" t="s">
        <v>1328</v>
      </c>
      <c r="J829" s="219" t="s">
        <v>271</v>
      </c>
      <c r="K829" s="219" t="s">
        <v>568</v>
      </c>
      <c r="L829" s="214" t="s">
        <v>431</v>
      </c>
      <c r="M829" s="222">
        <v>2020.0</v>
      </c>
      <c r="N829" s="214" t="s">
        <v>523</v>
      </c>
      <c r="O829" s="223">
        <v>3.0</v>
      </c>
      <c r="P829" s="224">
        <f t="shared" si="1"/>
        <v>0.4860412475</v>
      </c>
      <c r="Q829" s="214" t="str">
        <f t="shared" si="2"/>
        <v>High</v>
      </c>
    </row>
    <row r="830" ht="15.75" customHeight="1">
      <c r="A830" s="214" t="s">
        <v>1329</v>
      </c>
      <c r="B830" s="216">
        <v>3659.0</v>
      </c>
      <c r="C830" s="216">
        <v>379.0</v>
      </c>
      <c r="D830" s="217">
        <v>5.0</v>
      </c>
      <c r="E830" s="219" t="s">
        <v>216</v>
      </c>
      <c r="F830" s="219" t="s">
        <v>361</v>
      </c>
      <c r="G830" s="214" t="s">
        <v>392</v>
      </c>
      <c r="H830" s="221">
        <v>45465.0</v>
      </c>
      <c r="I830" s="219" t="s">
        <v>1330</v>
      </c>
      <c r="J830" s="219" t="s">
        <v>117</v>
      </c>
      <c r="K830" s="219" t="s">
        <v>423</v>
      </c>
      <c r="L830" s="214" t="s">
        <v>481</v>
      </c>
      <c r="M830" s="222">
        <v>2024.0</v>
      </c>
      <c r="N830" s="214" t="s">
        <v>396</v>
      </c>
      <c r="O830" s="223">
        <v>2.0</v>
      </c>
      <c r="P830" s="224">
        <f t="shared" si="1"/>
        <v>0.1035802132</v>
      </c>
      <c r="Q830" s="214" t="str">
        <f t="shared" si="2"/>
        <v>Medium</v>
      </c>
    </row>
    <row r="831" ht="15.75" customHeight="1">
      <c r="A831" s="214" t="s">
        <v>1331</v>
      </c>
      <c r="B831" s="216">
        <v>4183.0</v>
      </c>
      <c r="C831" s="216">
        <v>1159.0</v>
      </c>
      <c r="D831" s="217">
        <v>4.0</v>
      </c>
      <c r="E831" s="219" t="s">
        <v>242</v>
      </c>
      <c r="F831" s="219" t="s">
        <v>356</v>
      </c>
      <c r="G831" s="214" t="s">
        <v>351</v>
      </c>
      <c r="H831" s="221">
        <v>44025.0</v>
      </c>
      <c r="I831" s="219" t="s">
        <v>1332</v>
      </c>
      <c r="J831" s="219" t="s">
        <v>271</v>
      </c>
      <c r="K831" s="219" t="s">
        <v>449</v>
      </c>
      <c r="L831" s="214" t="s">
        <v>422</v>
      </c>
      <c r="M831" s="222">
        <v>2020.0</v>
      </c>
      <c r="N831" s="214" t="s">
        <v>404</v>
      </c>
      <c r="O831" s="223">
        <v>3.0</v>
      </c>
      <c r="P831" s="224">
        <f t="shared" si="1"/>
        <v>0.2770738704</v>
      </c>
      <c r="Q831" s="214" t="str">
        <f t="shared" si="2"/>
        <v>Medium</v>
      </c>
    </row>
    <row r="832" ht="15.75" customHeight="1">
      <c r="A832" s="214" t="s">
        <v>1333</v>
      </c>
      <c r="B832" s="216">
        <v>7478.0</v>
      </c>
      <c r="C832" s="216">
        <v>1381.0</v>
      </c>
      <c r="D832" s="217">
        <v>11.0</v>
      </c>
      <c r="E832" s="219" t="s">
        <v>157</v>
      </c>
      <c r="F832" s="219" t="s">
        <v>358</v>
      </c>
      <c r="G832" s="214" t="s">
        <v>406</v>
      </c>
      <c r="H832" s="221">
        <v>45398.0</v>
      </c>
      <c r="I832" s="219" t="s">
        <v>1334</v>
      </c>
      <c r="J832" s="219" t="s">
        <v>241</v>
      </c>
      <c r="K832" s="219" t="s">
        <v>541</v>
      </c>
      <c r="L832" s="214" t="s">
        <v>480</v>
      </c>
      <c r="M832" s="222">
        <v>2024.0</v>
      </c>
      <c r="N832" s="214" t="s">
        <v>542</v>
      </c>
      <c r="O832" s="223">
        <v>2.0</v>
      </c>
      <c r="P832" s="224">
        <f t="shared" si="1"/>
        <v>0.1846750468</v>
      </c>
      <c r="Q832" s="214" t="str">
        <f t="shared" si="2"/>
        <v>High</v>
      </c>
    </row>
    <row r="833" ht="15.75" customHeight="1">
      <c r="A833" s="214" t="s">
        <v>1335</v>
      </c>
      <c r="B833" s="216">
        <v>702.0</v>
      </c>
      <c r="C833" s="216">
        <v>238.0</v>
      </c>
      <c r="D833" s="217">
        <v>9.0</v>
      </c>
      <c r="E833" s="219" t="s">
        <v>157</v>
      </c>
      <c r="F833" s="219" t="s">
        <v>358</v>
      </c>
      <c r="G833" s="214" t="s">
        <v>405</v>
      </c>
      <c r="H833" s="221">
        <v>44268.0</v>
      </c>
      <c r="I833" s="219" t="s">
        <v>1336</v>
      </c>
      <c r="J833" s="219" t="s">
        <v>159</v>
      </c>
      <c r="K833" s="219" t="s">
        <v>552</v>
      </c>
      <c r="L833" s="214" t="s">
        <v>440</v>
      </c>
      <c r="M833" s="222">
        <v>2021.0</v>
      </c>
      <c r="N833" s="214" t="s">
        <v>433</v>
      </c>
      <c r="O833" s="223">
        <v>1.0</v>
      </c>
      <c r="P833" s="224">
        <f t="shared" si="1"/>
        <v>0.339031339</v>
      </c>
      <c r="Q833" s="214" t="str">
        <f t="shared" si="2"/>
        <v>Medium</v>
      </c>
    </row>
    <row r="834" ht="15.75" customHeight="1">
      <c r="A834" s="214" t="s">
        <v>1337</v>
      </c>
      <c r="B834" s="216">
        <v>4037.0</v>
      </c>
      <c r="C834" s="216">
        <v>1494.0</v>
      </c>
      <c r="D834" s="217">
        <v>15.0</v>
      </c>
      <c r="E834" s="219" t="s">
        <v>216</v>
      </c>
      <c r="F834" s="219" t="s">
        <v>359</v>
      </c>
      <c r="G834" s="214" t="s">
        <v>406</v>
      </c>
      <c r="H834" s="221">
        <v>45017.0</v>
      </c>
      <c r="I834" s="219" t="s">
        <v>1338</v>
      </c>
      <c r="J834" s="219" t="s">
        <v>117</v>
      </c>
      <c r="K834" s="219" t="s">
        <v>508</v>
      </c>
      <c r="L834" s="214" t="s">
        <v>468</v>
      </c>
      <c r="M834" s="222">
        <v>2023.0</v>
      </c>
      <c r="N834" s="214" t="s">
        <v>542</v>
      </c>
      <c r="O834" s="223">
        <v>2.0</v>
      </c>
      <c r="P834" s="224">
        <f t="shared" si="1"/>
        <v>0.3700767897</v>
      </c>
      <c r="Q834" s="214" t="str">
        <f t="shared" si="2"/>
        <v>Medium</v>
      </c>
    </row>
    <row r="835" ht="15.75" customHeight="1">
      <c r="A835" s="214" t="s">
        <v>1339</v>
      </c>
      <c r="B835" s="216">
        <v>5014.0</v>
      </c>
      <c r="C835" s="216">
        <v>2332.0</v>
      </c>
      <c r="D835" s="217">
        <v>2.0</v>
      </c>
      <c r="E835" s="219" t="s">
        <v>216</v>
      </c>
      <c r="F835" s="219" t="s">
        <v>359</v>
      </c>
      <c r="G835" s="214" t="s">
        <v>405</v>
      </c>
      <c r="H835" s="221">
        <v>44145.0</v>
      </c>
      <c r="I835" s="219" t="s">
        <v>1340</v>
      </c>
      <c r="J835" s="219" t="s">
        <v>271</v>
      </c>
      <c r="K835" s="219" t="s">
        <v>398</v>
      </c>
      <c r="L835" s="214" t="s">
        <v>436</v>
      </c>
      <c r="M835" s="222">
        <v>2020.0</v>
      </c>
      <c r="N835" s="214" t="s">
        <v>425</v>
      </c>
      <c r="O835" s="223">
        <v>4.0</v>
      </c>
      <c r="P835" s="224">
        <f t="shared" si="1"/>
        <v>0.4650977264</v>
      </c>
      <c r="Q835" s="214" t="str">
        <f t="shared" si="2"/>
        <v>High</v>
      </c>
    </row>
    <row r="836" ht="15.75" customHeight="1">
      <c r="A836" s="214" t="s">
        <v>1341</v>
      </c>
      <c r="B836" s="216">
        <v>9879.0</v>
      </c>
      <c r="C836" s="216">
        <v>4930.0</v>
      </c>
      <c r="D836" s="217">
        <v>15.0</v>
      </c>
      <c r="E836" s="219" t="s">
        <v>157</v>
      </c>
      <c r="F836" s="219" t="s">
        <v>360</v>
      </c>
      <c r="G836" s="214" t="s">
        <v>351</v>
      </c>
      <c r="H836" s="221">
        <v>45085.0</v>
      </c>
      <c r="I836" s="219" t="s">
        <v>1342</v>
      </c>
      <c r="J836" s="219" t="s">
        <v>223</v>
      </c>
      <c r="K836" s="219" t="s">
        <v>473</v>
      </c>
      <c r="L836" s="214" t="s">
        <v>395</v>
      </c>
      <c r="M836" s="222">
        <v>2023.0</v>
      </c>
      <c r="N836" s="214" t="s">
        <v>396</v>
      </c>
      <c r="O836" s="223">
        <v>2.0</v>
      </c>
      <c r="P836" s="224">
        <f t="shared" si="1"/>
        <v>0.4990383642</v>
      </c>
      <c r="Q836" s="214" t="str">
        <f t="shared" si="2"/>
        <v>High</v>
      </c>
    </row>
    <row r="837" ht="15.75" customHeight="1">
      <c r="A837" s="214" t="s">
        <v>1343</v>
      </c>
      <c r="B837" s="216">
        <v>8762.0</v>
      </c>
      <c r="C837" s="216">
        <v>3502.0</v>
      </c>
      <c r="D837" s="217">
        <v>1.0</v>
      </c>
      <c r="E837" s="219" t="s">
        <v>157</v>
      </c>
      <c r="F837" s="219" t="s">
        <v>358</v>
      </c>
      <c r="G837" s="214" t="s">
        <v>351</v>
      </c>
      <c r="H837" s="221">
        <v>44425.0</v>
      </c>
      <c r="I837" s="219" t="s">
        <v>1344</v>
      </c>
      <c r="J837" s="219" t="s">
        <v>159</v>
      </c>
      <c r="K837" s="219" t="s">
        <v>552</v>
      </c>
      <c r="L837" s="214" t="s">
        <v>445</v>
      </c>
      <c r="M837" s="222">
        <v>2021.0</v>
      </c>
      <c r="N837" s="214" t="s">
        <v>523</v>
      </c>
      <c r="O837" s="223">
        <v>3.0</v>
      </c>
      <c r="P837" s="224">
        <f t="shared" si="1"/>
        <v>0.3996804383</v>
      </c>
      <c r="Q837" s="214" t="str">
        <f t="shared" si="2"/>
        <v>High</v>
      </c>
    </row>
    <row r="838" ht="15.75" customHeight="1">
      <c r="A838" s="214" t="s">
        <v>1345</v>
      </c>
      <c r="B838" s="216">
        <v>8490.0</v>
      </c>
      <c r="C838" s="216">
        <v>800.0</v>
      </c>
      <c r="D838" s="217">
        <v>1.0</v>
      </c>
      <c r="E838" s="219" t="s">
        <v>242</v>
      </c>
      <c r="F838" s="219" t="s">
        <v>356</v>
      </c>
      <c r="G838" s="214" t="s">
        <v>406</v>
      </c>
      <c r="H838" s="221">
        <v>43975.0</v>
      </c>
      <c r="I838" s="219" t="s">
        <v>1346</v>
      </c>
      <c r="J838" s="219" t="s">
        <v>223</v>
      </c>
      <c r="K838" s="219" t="s">
        <v>428</v>
      </c>
      <c r="L838" s="214" t="s">
        <v>419</v>
      </c>
      <c r="M838" s="222">
        <v>2020.0</v>
      </c>
      <c r="N838" s="214" t="s">
        <v>411</v>
      </c>
      <c r="O838" s="223">
        <v>2.0</v>
      </c>
      <c r="P838" s="224">
        <f t="shared" si="1"/>
        <v>0.09422850412</v>
      </c>
      <c r="Q838" s="214" t="str">
        <f t="shared" si="2"/>
        <v>High</v>
      </c>
    </row>
    <row r="839" ht="15.75" customHeight="1">
      <c r="A839" s="214" t="s">
        <v>1347</v>
      </c>
      <c r="B839" s="216">
        <v>6951.0</v>
      </c>
      <c r="C839" s="216">
        <v>164.0</v>
      </c>
      <c r="D839" s="217">
        <v>10.0</v>
      </c>
      <c r="E839" s="219" t="s">
        <v>216</v>
      </c>
      <c r="F839" s="219" t="s">
        <v>347</v>
      </c>
      <c r="G839" s="214" t="s">
        <v>392</v>
      </c>
      <c r="H839" s="221">
        <v>44420.0</v>
      </c>
      <c r="I839" s="219" t="s">
        <v>1348</v>
      </c>
      <c r="J839" s="219" t="s">
        <v>223</v>
      </c>
      <c r="K839" s="219" t="s">
        <v>402</v>
      </c>
      <c r="L839" s="214" t="s">
        <v>445</v>
      </c>
      <c r="M839" s="222">
        <v>2021.0</v>
      </c>
      <c r="N839" s="214" t="s">
        <v>523</v>
      </c>
      <c r="O839" s="223">
        <v>3.0</v>
      </c>
      <c r="P839" s="224">
        <f t="shared" si="1"/>
        <v>0.02359372752</v>
      </c>
      <c r="Q839" s="214" t="str">
        <f t="shared" si="2"/>
        <v>High</v>
      </c>
    </row>
    <row r="840" ht="15.75" customHeight="1">
      <c r="A840" s="214" t="s">
        <v>1349</v>
      </c>
      <c r="B840" s="216">
        <v>1078.0</v>
      </c>
      <c r="C840" s="216">
        <v>309.0</v>
      </c>
      <c r="D840" s="217">
        <v>3.0</v>
      </c>
      <c r="E840" s="219" t="s">
        <v>157</v>
      </c>
      <c r="F840" s="219" t="s">
        <v>358</v>
      </c>
      <c r="G840" s="214" t="s">
        <v>350</v>
      </c>
      <c r="H840" s="221">
        <v>44807.0</v>
      </c>
      <c r="I840" s="219" t="s">
        <v>1350</v>
      </c>
      <c r="J840" s="219" t="s">
        <v>313</v>
      </c>
      <c r="K840" s="219" t="s">
        <v>526</v>
      </c>
      <c r="L840" s="214" t="s">
        <v>462</v>
      </c>
      <c r="M840" s="222">
        <v>2022.0</v>
      </c>
      <c r="N840" s="214" t="s">
        <v>536</v>
      </c>
      <c r="O840" s="223">
        <v>3.0</v>
      </c>
      <c r="P840" s="224">
        <f t="shared" si="1"/>
        <v>0.2866419295</v>
      </c>
      <c r="Q840" s="214" t="str">
        <f t="shared" si="2"/>
        <v>Medium</v>
      </c>
    </row>
    <row r="841" ht="15.75" customHeight="1">
      <c r="A841" s="214" t="s">
        <v>1349</v>
      </c>
      <c r="B841" s="216">
        <v>1078.0</v>
      </c>
      <c r="C841" s="216">
        <v>309.0</v>
      </c>
      <c r="D841" s="217">
        <v>3.0</v>
      </c>
      <c r="E841" s="219" t="s">
        <v>157</v>
      </c>
      <c r="F841" s="219" t="s">
        <v>358</v>
      </c>
      <c r="G841" s="214" t="s">
        <v>350</v>
      </c>
      <c r="H841" s="221">
        <v>44105.0</v>
      </c>
      <c r="I841" s="219" t="s">
        <v>1351</v>
      </c>
      <c r="J841" s="219" t="s">
        <v>271</v>
      </c>
      <c r="K841" s="219" t="s">
        <v>398</v>
      </c>
      <c r="L841" s="214" t="s">
        <v>435</v>
      </c>
      <c r="M841" s="222">
        <v>2020.0</v>
      </c>
      <c r="N841" s="214" t="s">
        <v>414</v>
      </c>
      <c r="O841" s="223">
        <v>4.0</v>
      </c>
      <c r="P841" s="224">
        <f t="shared" si="1"/>
        <v>0.2866419295</v>
      </c>
      <c r="Q841" s="214" t="str">
        <f t="shared" si="2"/>
        <v>Medium</v>
      </c>
    </row>
    <row r="842" ht="15.75" customHeight="1">
      <c r="A842" s="214" t="s">
        <v>1352</v>
      </c>
      <c r="B842" s="216">
        <v>8560.0</v>
      </c>
      <c r="C842" s="216">
        <v>2166.0</v>
      </c>
      <c r="D842" s="217">
        <v>19.0</v>
      </c>
      <c r="E842" s="219" t="s">
        <v>242</v>
      </c>
      <c r="F842" s="219" t="s">
        <v>362</v>
      </c>
      <c r="G842" s="214" t="s">
        <v>406</v>
      </c>
      <c r="H842" s="221">
        <v>44708.0</v>
      </c>
      <c r="I842" s="219" t="s">
        <v>1353</v>
      </c>
      <c r="J842" s="219" t="s">
        <v>159</v>
      </c>
      <c r="K842" s="219" t="s">
        <v>552</v>
      </c>
      <c r="L842" s="214" t="s">
        <v>457</v>
      </c>
      <c r="M842" s="222">
        <v>2022.0</v>
      </c>
      <c r="N842" s="214" t="s">
        <v>411</v>
      </c>
      <c r="O842" s="223">
        <v>2.0</v>
      </c>
      <c r="P842" s="224">
        <f t="shared" si="1"/>
        <v>0.2530373832</v>
      </c>
      <c r="Q842" s="214" t="str">
        <f t="shared" si="2"/>
        <v>High</v>
      </c>
    </row>
    <row r="843" ht="15.75" customHeight="1">
      <c r="A843" s="214" t="s">
        <v>1352</v>
      </c>
      <c r="B843" s="216">
        <v>1031.0</v>
      </c>
      <c r="C843" s="216">
        <v>318.0</v>
      </c>
      <c r="D843" s="217">
        <v>20.0</v>
      </c>
      <c r="E843" s="219" t="s">
        <v>157</v>
      </c>
      <c r="F843" s="219" t="s">
        <v>355</v>
      </c>
      <c r="G843" s="214" t="s">
        <v>392</v>
      </c>
      <c r="H843" s="221">
        <v>44708.0</v>
      </c>
      <c r="I843" s="219" t="s">
        <v>1353</v>
      </c>
      <c r="J843" s="219" t="s">
        <v>159</v>
      </c>
      <c r="K843" s="219" t="s">
        <v>552</v>
      </c>
      <c r="L843" s="214" t="s">
        <v>457</v>
      </c>
      <c r="M843" s="222">
        <v>2022.0</v>
      </c>
      <c r="N843" s="214" t="s">
        <v>411</v>
      </c>
      <c r="O843" s="223">
        <v>2.0</v>
      </c>
      <c r="P843" s="224">
        <f t="shared" si="1"/>
        <v>0.3084384093</v>
      </c>
      <c r="Q843" s="214" t="str">
        <f t="shared" si="2"/>
        <v>Medium</v>
      </c>
    </row>
    <row r="844" ht="15.75" customHeight="1">
      <c r="A844" s="214" t="s">
        <v>1354</v>
      </c>
      <c r="B844" s="216">
        <v>6402.0</v>
      </c>
      <c r="C844" s="216">
        <v>2770.0</v>
      </c>
      <c r="D844" s="217">
        <v>19.0</v>
      </c>
      <c r="E844" s="219" t="s">
        <v>242</v>
      </c>
      <c r="F844" s="219" t="s">
        <v>317</v>
      </c>
      <c r="G844" s="214" t="s">
        <v>351</v>
      </c>
      <c r="H844" s="221">
        <v>45361.0</v>
      </c>
      <c r="I844" s="219" t="s">
        <v>1355</v>
      </c>
      <c r="J844" s="219" t="s">
        <v>159</v>
      </c>
      <c r="K844" s="219" t="s">
        <v>409</v>
      </c>
      <c r="L844" s="214" t="s">
        <v>479</v>
      </c>
      <c r="M844" s="222">
        <v>2024.0</v>
      </c>
      <c r="N844" s="214" t="s">
        <v>433</v>
      </c>
      <c r="O844" s="223">
        <v>1.0</v>
      </c>
      <c r="P844" s="224">
        <f t="shared" si="1"/>
        <v>0.4326772883</v>
      </c>
      <c r="Q844" s="214" t="str">
        <f t="shared" si="2"/>
        <v>High</v>
      </c>
    </row>
    <row r="845" ht="15.75" customHeight="1">
      <c r="A845" s="214" t="s">
        <v>1354</v>
      </c>
      <c r="B845" s="216">
        <v>6402.0</v>
      </c>
      <c r="C845" s="216">
        <v>2770.0</v>
      </c>
      <c r="D845" s="217">
        <v>19.0</v>
      </c>
      <c r="E845" s="219" t="s">
        <v>242</v>
      </c>
      <c r="F845" s="219" t="s">
        <v>317</v>
      </c>
      <c r="G845" s="214" t="s">
        <v>351</v>
      </c>
      <c r="H845" s="221">
        <v>45204.0</v>
      </c>
      <c r="I845" s="219" t="s">
        <v>1356</v>
      </c>
      <c r="J845" s="219" t="s">
        <v>159</v>
      </c>
      <c r="K845" s="219" t="s">
        <v>409</v>
      </c>
      <c r="L845" s="214" t="s">
        <v>475</v>
      </c>
      <c r="M845" s="222">
        <v>2023.0</v>
      </c>
      <c r="N845" s="214" t="s">
        <v>414</v>
      </c>
      <c r="O845" s="223">
        <v>4.0</v>
      </c>
      <c r="P845" s="224">
        <f t="shared" si="1"/>
        <v>0.4326772883</v>
      </c>
      <c r="Q845" s="214" t="str">
        <f t="shared" si="2"/>
        <v>High</v>
      </c>
    </row>
    <row r="846" ht="15.75" customHeight="1">
      <c r="A846" s="214" t="s">
        <v>1354</v>
      </c>
      <c r="B846" s="216">
        <v>5916.0</v>
      </c>
      <c r="C846" s="216">
        <v>1594.0</v>
      </c>
      <c r="D846" s="217">
        <v>19.0</v>
      </c>
      <c r="E846" s="219" t="s">
        <v>157</v>
      </c>
      <c r="F846" s="219" t="s">
        <v>354</v>
      </c>
      <c r="G846" s="214" t="s">
        <v>351</v>
      </c>
      <c r="H846" s="221">
        <v>45361.0</v>
      </c>
      <c r="I846" s="219" t="s">
        <v>1355</v>
      </c>
      <c r="J846" s="219" t="s">
        <v>159</v>
      </c>
      <c r="K846" s="219" t="s">
        <v>409</v>
      </c>
      <c r="L846" s="214" t="s">
        <v>479</v>
      </c>
      <c r="M846" s="222">
        <v>2024.0</v>
      </c>
      <c r="N846" s="214" t="s">
        <v>433</v>
      </c>
      <c r="O846" s="223">
        <v>1.0</v>
      </c>
      <c r="P846" s="224">
        <f t="shared" si="1"/>
        <v>0.26943881</v>
      </c>
      <c r="Q846" s="214" t="str">
        <f t="shared" si="2"/>
        <v>High</v>
      </c>
    </row>
    <row r="847" ht="15.75" customHeight="1">
      <c r="A847" s="214" t="s">
        <v>1354</v>
      </c>
      <c r="B847" s="216">
        <v>5916.0</v>
      </c>
      <c r="C847" s="216">
        <v>1594.0</v>
      </c>
      <c r="D847" s="217">
        <v>19.0</v>
      </c>
      <c r="E847" s="219" t="s">
        <v>157</v>
      </c>
      <c r="F847" s="219" t="s">
        <v>354</v>
      </c>
      <c r="G847" s="214" t="s">
        <v>351</v>
      </c>
      <c r="H847" s="221">
        <v>45204.0</v>
      </c>
      <c r="I847" s="219" t="s">
        <v>1356</v>
      </c>
      <c r="J847" s="219" t="s">
        <v>159</v>
      </c>
      <c r="K847" s="219" t="s">
        <v>409</v>
      </c>
      <c r="L847" s="214" t="s">
        <v>475</v>
      </c>
      <c r="M847" s="222">
        <v>2023.0</v>
      </c>
      <c r="N847" s="214" t="s">
        <v>414</v>
      </c>
      <c r="O847" s="223">
        <v>4.0</v>
      </c>
      <c r="P847" s="224">
        <f t="shared" si="1"/>
        <v>0.26943881</v>
      </c>
      <c r="Q847" s="214" t="str">
        <f t="shared" si="2"/>
        <v>High</v>
      </c>
    </row>
    <row r="848" ht="15.75" customHeight="1">
      <c r="A848" s="214" t="s">
        <v>1357</v>
      </c>
      <c r="B848" s="216">
        <v>4015.0</v>
      </c>
      <c r="C848" s="216">
        <v>1751.0</v>
      </c>
      <c r="D848" s="217">
        <v>15.0</v>
      </c>
      <c r="E848" s="219" t="s">
        <v>216</v>
      </c>
      <c r="F848" s="219" t="s">
        <v>359</v>
      </c>
      <c r="G848" s="214" t="s">
        <v>351</v>
      </c>
      <c r="H848" s="221">
        <v>44801.0</v>
      </c>
      <c r="I848" s="219" t="s">
        <v>1358</v>
      </c>
      <c r="J848" s="219" t="s">
        <v>117</v>
      </c>
      <c r="K848" s="219" t="s">
        <v>508</v>
      </c>
      <c r="L848" s="214" t="s">
        <v>461</v>
      </c>
      <c r="M848" s="222">
        <v>2022.0</v>
      </c>
      <c r="N848" s="214" t="s">
        <v>523</v>
      </c>
      <c r="O848" s="223">
        <v>3.0</v>
      </c>
      <c r="P848" s="224">
        <f t="shared" si="1"/>
        <v>0.4361145704</v>
      </c>
      <c r="Q848" s="214" t="str">
        <f t="shared" si="2"/>
        <v>Medium</v>
      </c>
    </row>
    <row r="849" ht="15.75" customHeight="1">
      <c r="A849" s="214" t="s">
        <v>1357</v>
      </c>
      <c r="B849" s="216">
        <v>4015.0</v>
      </c>
      <c r="C849" s="216">
        <v>1751.0</v>
      </c>
      <c r="D849" s="217">
        <v>15.0</v>
      </c>
      <c r="E849" s="219" t="s">
        <v>216</v>
      </c>
      <c r="F849" s="219" t="s">
        <v>359</v>
      </c>
      <c r="G849" s="214" t="s">
        <v>351</v>
      </c>
      <c r="H849" s="221">
        <v>44082.0</v>
      </c>
      <c r="I849" s="219" t="s">
        <v>1359</v>
      </c>
      <c r="J849" s="219" t="s">
        <v>223</v>
      </c>
      <c r="K849" s="219" t="s">
        <v>428</v>
      </c>
      <c r="L849" s="214" t="s">
        <v>434</v>
      </c>
      <c r="M849" s="222">
        <v>2020.0</v>
      </c>
      <c r="N849" s="214" t="s">
        <v>536</v>
      </c>
      <c r="O849" s="223">
        <v>3.0</v>
      </c>
      <c r="P849" s="224">
        <f t="shared" si="1"/>
        <v>0.4361145704</v>
      </c>
      <c r="Q849" s="214" t="str">
        <f t="shared" si="2"/>
        <v>Medium</v>
      </c>
    </row>
    <row r="850" ht="15.75" customHeight="1">
      <c r="A850" s="214" t="s">
        <v>1360</v>
      </c>
      <c r="B850" s="216">
        <v>9335.0</v>
      </c>
      <c r="C850" s="216">
        <v>557.0</v>
      </c>
      <c r="D850" s="217">
        <v>11.0</v>
      </c>
      <c r="E850" s="219" t="s">
        <v>157</v>
      </c>
      <c r="F850" s="219" t="s">
        <v>355</v>
      </c>
      <c r="G850" s="214" t="s">
        <v>405</v>
      </c>
      <c r="H850" s="221">
        <v>44313.0</v>
      </c>
      <c r="I850" s="219" t="s">
        <v>1361</v>
      </c>
      <c r="J850" s="219" t="s">
        <v>117</v>
      </c>
      <c r="K850" s="219" t="s">
        <v>423</v>
      </c>
      <c r="L850" s="214" t="s">
        <v>442</v>
      </c>
      <c r="M850" s="222">
        <v>2021.0</v>
      </c>
      <c r="N850" s="214" t="s">
        <v>542</v>
      </c>
      <c r="O850" s="223">
        <v>2.0</v>
      </c>
      <c r="P850" s="224">
        <f t="shared" si="1"/>
        <v>0.05966791644</v>
      </c>
      <c r="Q850" s="214" t="str">
        <f t="shared" si="2"/>
        <v>High</v>
      </c>
    </row>
    <row r="851" ht="15.75" customHeight="1">
      <c r="A851" s="214" t="s">
        <v>1362</v>
      </c>
      <c r="B851" s="216">
        <v>4706.0</v>
      </c>
      <c r="C851" s="216">
        <v>594.0</v>
      </c>
      <c r="D851" s="217">
        <v>11.0</v>
      </c>
      <c r="E851" s="219" t="s">
        <v>242</v>
      </c>
      <c r="F851" s="219" t="s">
        <v>362</v>
      </c>
      <c r="G851" s="214" t="s">
        <v>405</v>
      </c>
      <c r="H851" s="221">
        <v>44429.0</v>
      </c>
      <c r="I851" s="219" t="s">
        <v>1363</v>
      </c>
      <c r="J851" s="219" t="s">
        <v>313</v>
      </c>
      <c r="K851" s="219" t="s">
        <v>526</v>
      </c>
      <c r="L851" s="214" t="s">
        <v>445</v>
      </c>
      <c r="M851" s="222">
        <v>2021.0</v>
      </c>
      <c r="N851" s="214" t="s">
        <v>523</v>
      </c>
      <c r="O851" s="223">
        <v>3.0</v>
      </c>
      <c r="P851" s="224">
        <f t="shared" si="1"/>
        <v>0.1262218445</v>
      </c>
      <c r="Q851" s="214" t="str">
        <f t="shared" si="2"/>
        <v>Medium</v>
      </c>
    </row>
    <row r="852" ht="15.75" customHeight="1">
      <c r="A852" s="214" t="s">
        <v>1362</v>
      </c>
      <c r="B852" s="216">
        <v>4706.0</v>
      </c>
      <c r="C852" s="216">
        <v>594.0</v>
      </c>
      <c r="D852" s="217">
        <v>11.0</v>
      </c>
      <c r="E852" s="219" t="s">
        <v>242</v>
      </c>
      <c r="F852" s="219" t="s">
        <v>362</v>
      </c>
      <c r="G852" s="214" t="s">
        <v>405</v>
      </c>
      <c r="H852" s="221">
        <v>44332.0</v>
      </c>
      <c r="I852" s="219" t="s">
        <v>1364</v>
      </c>
      <c r="J852" s="219" t="s">
        <v>313</v>
      </c>
      <c r="K852" s="219" t="s">
        <v>512</v>
      </c>
      <c r="L852" s="214" t="s">
        <v>443</v>
      </c>
      <c r="M852" s="222">
        <v>2021.0</v>
      </c>
      <c r="N852" s="214" t="s">
        <v>411</v>
      </c>
      <c r="O852" s="223">
        <v>2.0</v>
      </c>
      <c r="P852" s="224">
        <f t="shared" si="1"/>
        <v>0.1262218445</v>
      </c>
      <c r="Q852" s="214" t="str">
        <f t="shared" si="2"/>
        <v>Medium</v>
      </c>
    </row>
    <row r="853" ht="15.75" customHeight="1">
      <c r="A853" s="214" t="s">
        <v>1362</v>
      </c>
      <c r="B853" s="216">
        <v>6584.0</v>
      </c>
      <c r="C853" s="216">
        <v>371.0</v>
      </c>
      <c r="D853" s="217">
        <v>6.0</v>
      </c>
      <c r="E853" s="219" t="s">
        <v>242</v>
      </c>
      <c r="F853" s="219" t="s">
        <v>317</v>
      </c>
      <c r="G853" s="214" t="s">
        <v>392</v>
      </c>
      <c r="H853" s="221">
        <v>44429.0</v>
      </c>
      <c r="I853" s="219" t="s">
        <v>1363</v>
      </c>
      <c r="J853" s="219" t="s">
        <v>313</v>
      </c>
      <c r="K853" s="219" t="s">
        <v>526</v>
      </c>
      <c r="L853" s="214" t="s">
        <v>445</v>
      </c>
      <c r="M853" s="222">
        <v>2021.0</v>
      </c>
      <c r="N853" s="214" t="s">
        <v>523</v>
      </c>
      <c r="O853" s="223">
        <v>3.0</v>
      </c>
      <c r="P853" s="224">
        <f t="shared" si="1"/>
        <v>0.05634872418</v>
      </c>
      <c r="Q853" s="214" t="str">
        <f t="shared" si="2"/>
        <v>High</v>
      </c>
    </row>
    <row r="854" ht="15.75" customHeight="1">
      <c r="A854" s="214" t="s">
        <v>1362</v>
      </c>
      <c r="B854" s="216">
        <v>6584.0</v>
      </c>
      <c r="C854" s="216">
        <v>371.0</v>
      </c>
      <c r="D854" s="217">
        <v>6.0</v>
      </c>
      <c r="E854" s="219" t="s">
        <v>242</v>
      </c>
      <c r="F854" s="219" t="s">
        <v>317</v>
      </c>
      <c r="G854" s="214" t="s">
        <v>392</v>
      </c>
      <c r="H854" s="221">
        <v>44332.0</v>
      </c>
      <c r="I854" s="219" t="s">
        <v>1364</v>
      </c>
      <c r="J854" s="219" t="s">
        <v>313</v>
      </c>
      <c r="K854" s="219" t="s">
        <v>512</v>
      </c>
      <c r="L854" s="214" t="s">
        <v>443</v>
      </c>
      <c r="M854" s="222">
        <v>2021.0</v>
      </c>
      <c r="N854" s="214" t="s">
        <v>411</v>
      </c>
      <c r="O854" s="223">
        <v>2.0</v>
      </c>
      <c r="P854" s="224">
        <f t="shared" si="1"/>
        <v>0.05634872418</v>
      </c>
      <c r="Q854" s="214" t="str">
        <f t="shared" si="2"/>
        <v>High</v>
      </c>
    </row>
    <row r="855" ht="15.75" customHeight="1">
      <c r="A855" s="214" t="s">
        <v>1365</v>
      </c>
      <c r="B855" s="216">
        <v>6389.0</v>
      </c>
      <c r="C855" s="216">
        <v>734.0</v>
      </c>
      <c r="D855" s="217">
        <v>1.0</v>
      </c>
      <c r="E855" s="219" t="s">
        <v>216</v>
      </c>
      <c r="F855" s="219" t="s">
        <v>347</v>
      </c>
      <c r="G855" s="214" t="s">
        <v>406</v>
      </c>
      <c r="H855" s="221">
        <v>44576.0</v>
      </c>
      <c r="I855" s="219" t="s">
        <v>1366</v>
      </c>
      <c r="J855" s="219" t="s">
        <v>241</v>
      </c>
      <c r="K855" s="219" t="s">
        <v>493</v>
      </c>
      <c r="L855" s="214" t="s">
        <v>453</v>
      </c>
      <c r="M855" s="222">
        <v>2022.0</v>
      </c>
      <c r="N855" s="214" t="s">
        <v>497</v>
      </c>
      <c r="O855" s="223">
        <v>1.0</v>
      </c>
      <c r="P855" s="224">
        <f t="shared" si="1"/>
        <v>0.1148849585</v>
      </c>
      <c r="Q855" s="214" t="str">
        <f t="shared" si="2"/>
        <v>High</v>
      </c>
    </row>
    <row r="856" ht="15.75" customHeight="1">
      <c r="A856" s="214" t="s">
        <v>1367</v>
      </c>
      <c r="B856" s="216">
        <v>9869.0</v>
      </c>
      <c r="C856" s="216">
        <v>4299.0</v>
      </c>
      <c r="D856" s="217">
        <v>12.0</v>
      </c>
      <c r="E856" s="219" t="s">
        <v>157</v>
      </c>
      <c r="F856" s="219" t="s">
        <v>354</v>
      </c>
      <c r="G856" s="214" t="s">
        <v>351</v>
      </c>
      <c r="H856" s="221">
        <v>45006.0</v>
      </c>
      <c r="I856" s="219" t="s">
        <v>1368</v>
      </c>
      <c r="J856" s="219" t="s">
        <v>117</v>
      </c>
      <c r="K856" s="219" t="s">
        <v>496</v>
      </c>
      <c r="L856" s="214" t="s">
        <v>467</v>
      </c>
      <c r="M856" s="222">
        <v>2023.0</v>
      </c>
      <c r="N856" s="214" t="s">
        <v>433</v>
      </c>
      <c r="O856" s="223">
        <v>1.0</v>
      </c>
      <c r="P856" s="224">
        <f t="shared" si="1"/>
        <v>0.4356064444</v>
      </c>
      <c r="Q856" s="214" t="str">
        <f t="shared" si="2"/>
        <v>High</v>
      </c>
    </row>
    <row r="857" ht="15.75" customHeight="1">
      <c r="A857" s="214" t="s">
        <v>1367</v>
      </c>
      <c r="B857" s="216">
        <v>9869.0</v>
      </c>
      <c r="C857" s="216">
        <v>4299.0</v>
      </c>
      <c r="D857" s="217">
        <v>12.0</v>
      </c>
      <c r="E857" s="219" t="s">
        <v>157</v>
      </c>
      <c r="F857" s="219" t="s">
        <v>354</v>
      </c>
      <c r="G857" s="214" t="s">
        <v>351</v>
      </c>
      <c r="H857" s="221">
        <v>45288.0</v>
      </c>
      <c r="I857" s="219" t="s">
        <v>1369</v>
      </c>
      <c r="J857" s="219" t="s">
        <v>223</v>
      </c>
      <c r="K857" s="219" t="s">
        <v>402</v>
      </c>
      <c r="L857" s="214" t="s">
        <v>476</v>
      </c>
      <c r="M857" s="222">
        <v>2023.0</v>
      </c>
      <c r="N857" s="214" t="s">
        <v>400</v>
      </c>
      <c r="O857" s="223">
        <v>4.0</v>
      </c>
      <c r="P857" s="224">
        <f t="shared" si="1"/>
        <v>0.4356064444</v>
      </c>
      <c r="Q857" s="214" t="str">
        <f t="shared" si="2"/>
        <v>High</v>
      </c>
    </row>
    <row r="858" ht="15.75" customHeight="1">
      <c r="A858" s="214" t="s">
        <v>1370</v>
      </c>
      <c r="B858" s="216">
        <v>655.0</v>
      </c>
      <c r="C858" s="216">
        <v>297.0</v>
      </c>
      <c r="D858" s="217">
        <v>4.0</v>
      </c>
      <c r="E858" s="219" t="s">
        <v>242</v>
      </c>
      <c r="F858" s="219" t="s">
        <v>317</v>
      </c>
      <c r="G858" s="214" t="s">
        <v>351</v>
      </c>
      <c r="H858" s="221">
        <v>44607.0</v>
      </c>
      <c r="I858" s="219" t="s">
        <v>1371</v>
      </c>
      <c r="J858" s="219" t="s">
        <v>223</v>
      </c>
      <c r="K858" s="219" t="s">
        <v>402</v>
      </c>
      <c r="L858" s="214" t="s">
        <v>454</v>
      </c>
      <c r="M858" s="222">
        <v>2022.0</v>
      </c>
      <c r="N858" s="214" t="s">
        <v>494</v>
      </c>
      <c r="O858" s="223">
        <v>1.0</v>
      </c>
      <c r="P858" s="224">
        <f t="shared" si="1"/>
        <v>0.4534351145</v>
      </c>
      <c r="Q858" s="214" t="str">
        <f t="shared" si="2"/>
        <v>Medium</v>
      </c>
    </row>
    <row r="859" ht="15.75" customHeight="1">
      <c r="A859" s="214" t="s">
        <v>1370</v>
      </c>
      <c r="B859" s="216">
        <v>655.0</v>
      </c>
      <c r="C859" s="216">
        <v>297.0</v>
      </c>
      <c r="D859" s="217">
        <v>4.0</v>
      </c>
      <c r="E859" s="219" t="s">
        <v>242</v>
      </c>
      <c r="F859" s="219" t="s">
        <v>317</v>
      </c>
      <c r="G859" s="214" t="s">
        <v>351</v>
      </c>
      <c r="H859" s="221">
        <v>45260.0</v>
      </c>
      <c r="I859" s="219" t="s">
        <v>1372</v>
      </c>
      <c r="J859" s="219" t="s">
        <v>159</v>
      </c>
      <c r="K859" s="219" t="s">
        <v>409</v>
      </c>
      <c r="L859" s="214" t="s">
        <v>429</v>
      </c>
      <c r="M859" s="222">
        <v>2023.0</v>
      </c>
      <c r="N859" s="214" t="s">
        <v>425</v>
      </c>
      <c r="O859" s="223">
        <v>4.0</v>
      </c>
      <c r="P859" s="224">
        <f t="shared" si="1"/>
        <v>0.4534351145</v>
      </c>
      <c r="Q859" s="214" t="str">
        <f t="shared" si="2"/>
        <v>Medium</v>
      </c>
    </row>
    <row r="860" ht="15.75" customHeight="1">
      <c r="A860" s="214" t="s">
        <v>1373</v>
      </c>
      <c r="B860" s="216">
        <v>798.0</v>
      </c>
      <c r="C860" s="216">
        <v>308.0</v>
      </c>
      <c r="D860" s="217">
        <v>10.0</v>
      </c>
      <c r="E860" s="219" t="s">
        <v>157</v>
      </c>
      <c r="F860" s="219" t="s">
        <v>358</v>
      </c>
      <c r="G860" s="214" t="s">
        <v>351</v>
      </c>
      <c r="H860" s="221">
        <v>44938.0</v>
      </c>
      <c r="I860" s="219" t="s">
        <v>1374</v>
      </c>
      <c r="J860" s="219" t="s">
        <v>223</v>
      </c>
      <c r="K860" s="219" t="s">
        <v>402</v>
      </c>
      <c r="L860" s="214" t="s">
        <v>465</v>
      </c>
      <c r="M860" s="222">
        <v>2023.0</v>
      </c>
      <c r="N860" s="214" t="s">
        <v>497</v>
      </c>
      <c r="O860" s="223">
        <v>1.0</v>
      </c>
      <c r="P860" s="224">
        <f t="shared" si="1"/>
        <v>0.3859649123</v>
      </c>
      <c r="Q860" s="214" t="str">
        <f t="shared" si="2"/>
        <v>Medium</v>
      </c>
    </row>
    <row r="861" ht="15.75" customHeight="1">
      <c r="A861" s="214" t="s">
        <v>1373</v>
      </c>
      <c r="B861" s="216">
        <v>798.0</v>
      </c>
      <c r="C861" s="216">
        <v>308.0</v>
      </c>
      <c r="D861" s="217">
        <v>10.0</v>
      </c>
      <c r="E861" s="219" t="s">
        <v>157</v>
      </c>
      <c r="F861" s="219" t="s">
        <v>358</v>
      </c>
      <c r="G861" s="214" t="s">
        <v>351</v>
      </c>
      <c r="H861" s="221">
        <v>45065.0</v>
      </c>
      <c r="I861" s="219" t="s">
        <v>1375</v>
      </c>
      <c r="J861" s="219" t="s">
        <v>313</v>
      </c>
      <c r="K861" s="219" t="s">
        <v>526</v>
      </c>
      <c r="L861" s="214" t="s">
        <v>469</v>
      </c>
      <c r="M861" s="222">
        <v>2023.0</v>
      </c>
      <c r="N861" s="214" t="s">
        <v>411</v>
      </c>
      <c r="O861" s="223">
        <v>2.0</v>
      </c>
      <c r="P861" s="224">
        <f t="shared" si="1"/>
        <v>0.3859649123</v>
      </c>
      <c r="Q861" s="214" t="str">
        <f t="shared" si="2"/>
        <v>Medium</v>
      </c>
    </row>
    <row r="862" ht="15.75" customHeight="1">
      <c r="A862" s="214" t="s">
        <v>1373</v>
      </c>
      <c r="B862" s="216">
        <v>7967.0</v>
      </c>
      <c r="C862" s="216">
        <v>2504.0</v>
      </c>
      <c r="D862" s="217">
        <v>13.0</v>
      </c>
      <c r="E862" s="219" t="s">
        <v>157</v>
      </c>
      <c r="F862" s="219" t="s">
        <v>354</v>
      </c>
      <c r="G862" s="214" t="s">
        <v>406</v>
      </c>
      <c r="H862" s="221">
        <v>44938.0</v>
      </c>
      <c r="I862" s="219" t="s">
        <v>1374</v>
      </c>
      <c r="J862" s="219" t="s">
        <v>223</v>
      </c>
      <c r="K862" s="219" t="s">
        <v>402</v>
      </c>
      <c r="L862" s="214" t="s">
        <v>465</v>
      </c>
      <c r="M862" s="222">
        <v>2023.0</v>
      </c>
      <c r="N862" s="214" t="s">
        <v>497</v>
      </c>
      <c r="O862" s="223">
        <v>1.0</v>
      </c>
      <c r="P862" s="224">
        <f t="shared" si="1"/>
        <v>0.314296473</v>
      </c>
      <c r="Q862" s="214" t="str">
        <f t="shared" si="2"/>
        <v>High</v>
      </c>
    </row>
    <row r="863" ht="15.75" customHeight="1">
      <c r="A863" s="214" t="s">
        <v>1373</v>
      </c>
      <c r="B863" s="216">
        <v>7967.0</v>
      </c>
      <c r="C863" s="216">
        <v>2504.0</v>
      </c>
      <c r="D863" s="217">
        <v>13.0</v>
      </c>
      <c r="E863" s="219" t="s">
        <v>157</v>
      </c>
      <c r="F863" s="219" t="s">
        <v>354</v>
      </c>
      <c r="G863" s="214" t="s">
        <v>406</v>
      </c>
      <c r="H863" s="221">
        <v>45065.0</v>
      </c>
      <c r="I863" s="219" t="s">
        <v>1375</v>
      </c>
      <c r="J863" s="219" t="s">
        <v>313</v>
      </c>
      <c r="K863" s="219" t="s">
        <v>526</v>
      </c>
      <c r="L863" s="214" t="s">
        <v>469</v>
      </c>
      <c r="M863" s="222">
        <v>2023.0</v>
      </c>
      <c r="N863" s="214" t="s">
        <v>411</v>
      </c>
      <c r="O863" s="223">
        <v>2.0</v>
      </c>
      <c r="P863" s="224">
        <f t="shared" si="1"/>
        <v>0.314296473</v>
      </c>
      <c r="Q863" s="214" t="str">
        <f t="shared" si="2"/>
        <v>High</v>
      </c>
    </row>
    <row r="864" ht="15.75" customHeight="1">
      <c r="A864" s="214" t="s">
        <v>1376</v>
      </c>
      <c r="B864" s="216">
        <v>3756.0</v>
      </c>
      <c r="C864" s="216">
        <v>1318.0</v>
      </c>
      <c r="D864" s="217">
        <v>5.0</v>
      </c>
      <c r="E864" s="219" t="s">
        <v>216</v>
      </c>
      <c r="F864" s="219" t="s">
        <v>344</v>
      </c>
      <c r="G864" s="214" t="s">
        <v>392</v>
      </c>
      <c r="H864" s="221">
        <v>45341.0</v>
      </c>
      <c r="I864" s="219" t="s">
        <v>1377</v>
      </c>
      <c r="J864" s="219" t="s">
        <v>159</v>
      </c>
      <c r="K864" s="219" t="s">
        <v>394</v>
      </c>
      <c r="L864" s="214" t="s">
        <v>478</v>
      </c>
      <c r="M864" s="222">
        <v>2024.0</v>
      </c>
      <c r="N864" s="214" t="s">
        <v>494</v>
      </c>
      <c r="O864" s="223">
        <v>1.0</v>
      </c>
      <c r="P864" s="224">
        <f t="shared" si="1"/>
        <v>0.3509052183</v>
      </c>
      <c r="Q864" s="214" t="str">
        <f t="shared" si="2"/>
        <v>Medium</v>
      </c>
    </row>
    <row r="865" ht="15.75" customHeight="1">
      <c r="A865" s="214" t="s">
        <v>1378</v>
      </c>
      <c r="B865" s="216">
        <v>5196.0</v>
      </c>
      <c r="C865" s="216">
        <v>2477.0</v>
      </c>
      <c r="D865" s="217">
        <v>1.0</v>
      </c>
      <c r="E865" s="219" t="s">
        <v>242</v>
      </c>
      <c r="F865" s="219" t="s">
        <v>317</v>
      </c>
      <c r="G865" s="214" t="s">
        <v>392</v>
      </c>
      <c r="H865" s="221">
        <v>44531.0</v>
      </c>
      <c r="I865" s="219" t="s">
        <v>1379</v>
      </c>
      <c r="J865" s="219" t="s">
        <v>241</v>
      </c>
      <c r="K865" s="219" t="s">
        <v>504</v>
      </c>
      <c r="L865" s="214" t="s">
        <v>452</v>
      </c>
      <c r="M865" s="222">
        <v>2021.0</v>
      </c>
      <c r="N865" s="214" t="s">
        <v>400</v>
      </c>
      <c r="O865" s="223">
        <v>4.0</v>
      </c>
      <c r="P865" s="224">
        <f t="shared" si="1"/>
        <v>0.476712856</v>
      </c>
      <c r="Q865" s="214" t="str">
        <f t="shared" si="2"/>
        <v>High</v>
      </c>
    </row>
    <row r="866" ht="15.75" customHeight="1">
      <c r="A866" s="214" t="s">
        <v>1378</v>
      </c>
      <c r="B866" s="216">
        <v>6586.0</v>
      </c>
      <c r="C866" s="216">
        <v>1794.0</v>
      </c>
      <c r="D866" s="217">
        <v>19.0</v>
      </c>
      <c r="E866" s="219" t="s">
        <v>216</v>
      </c>
      <c r="F866" s="219" t="s">
        <v>361</v>
      </c>
      <c r="G866" s="214" t="s">
        <v>351</v>
      </c>
      <c r="H866" s="221">
        <v>44531.0</v>
      </c>
      <c r="I866" s="219" t="s">
        <v>1379</v>
      </c>
      <c r="J866" s="219" t="s">
        <v>241</v>
      </c>
      <c r="K866" s="219" t="s">
        <v>504</v>
      </c>
      <c r="L866" s="214" t="s">
        <v>452</v>
      </c>
      <c r="M866" s="222">
        <v>2021.0</v>
      </c>
      <c r="N866" s="214" t="s">
        <v>400</v>
      </c>
      <c r="O866" s="223">
        <v>4.0</v>
      </c>
      <c r="P866" s="224">
        <f t="shared" si="1"/>
        <v>0.2723959915</v>
      </c>
      <c r="Q866" s="214" t="str">
        <f t="shared" si="2"/>
        <v>High</v>
      </c>
    </row>
    <row r="867" ht="15.75" customHeight="1">
      <c r="A867" s="214" t="s">
        <v>1380</v>
      </c>
      <c r="B867" s="216">
        <v>6673.0</v>
      </c>
      <c r="C867" s="216">
        <v>950.0</v>
      </c>
      <c r="D867" s="217">
        <v>19.0</v>
      </c>
      <c r="E867" s="219" t="s">
        <v>242</v>
      </c>
      <c r="F867" s="219" t="s">
        <v>317</v>
      </c>
      <c r="G867" s="214" t="s">
        <v>406</v>
      </c>
      <c r="H867" s="221">
        <v>45645.0</v>
      </c>
      <c r="I867" s="219" t="s">
        <v>1381</v>
      </c>
      <c r="J867" s="219" t="s">
        <v>223</v>
      </c>
      <c r="K867" s="219" t="s">
        <v>402</v>
      </c>
      <c r="L867" s="214" t="s">
        <v>399</v>
      </c>
      <c r="M867" s="222">
        <v>2024.0</v>
      </c>
      <c r="N867" s="214" t="s">
        <v>400</v>
      </c>
      <c r="O867" s="223">
        <v>4.0</v>
      </c>
      <c r="P867" s="224">
        <f t="shared" si="1"/>
        <v>0.1423647535</v>
      </c>
      <c r="Q867" s="214" t="str">
        <f t="shared" si="2"/>
        <v>High</v>
      </c>
    </row>
    <row r="868" ht="15.75" customHeight="1">
      <c r="A868" s="214" t="s">
        <v>1382</v>
      </c>
      <c r="B868" s="216">
        <v>714.0</v>
      </c>
      <c r="C868" s="216">
        <v>232.0</v>
      </c>
      <c r="D868" s="217">
        <v>14.0</v>
      </c>
      <c r="E868" s="219" t="s">
        <v>216</v>
      </c>
      <c r="F868" s="219" t="s">
        <v>344</v>
      </c>
      <c r="G868" s="214" t="s">
        <v>392</v>
      </c>
      <c r="H868" s="221">
        <v>44944.0</v>
      </c>
      <c r="I868" s="219" t="s">
        <v>1383</v>
      </c>
      <c r="J868" s="219" t="s">
        <v>313</v>
      </c>
      <c r="K868" s="219" t="s">
        <v>512</v>
      </c>
      <c r="L868" s="214" t="s">
        <v>465</v>
      </c>
      <c r="M868" s="222">
        <v>2023.0</v>
      </c>
      <c r="N868" s="214" t="s">
        <v>497</v>
      </c>
      <c r="O868" s="223">
        <v>1.0</v>
      </c>
      <c r="P868" s="224">
        <f t="shared" si="1"/>
        <v>0.324929972</v>
      </c>
      <c r="Q868" s="214" t="str">
        <f t="shared" si="2"/>
        <v>Medium</v>
      </c>
    </row>
    <row r="869" ht="15.75" customHeight="1">
      <c r="A869" s="214" t="s">
        <v>1382</v>
      </c>
      <c r="B869" s="216">
        <v>714.0</v>
      </c>
      <c r="C869" s="216">
        <v>232.0</v>
      </c>
      <c r="D869" s="217">
        <v>14.0</v>
      </c>
      <c r="E869" s="219" t="s">
        <v>216</v>
      </c>
      <c r="F869" s="219" t="s">
        <v>344</v>
      </c>
      <c r="G869" s="214" t="s">
        <v>392</v>
      </c>
      <c r="H869" s="221">
        <v>44188.0</v>
      </c>
      <c r="I869" s="219" t="s">
        <v>1384</v>
      </c>
      <c r="J869" s="219" t="s">
        <v>241</v>
      </c>
      <c r="K869" s="219" t="s">
        <v>504</v>
      </c>
      <c r="L869" s="214" t="s">
        <v>437</v>
      </c>
      <c r="M869" s="222">
        <v>2020.0</v>
      </c>
      <c r="N869" s="214" t="s">
        <v>400</v>
      </c>
      <c r="O869" s="223">
        <v>4.0</v>
      </c>
      <c r="P869" s="224">
        <f t="shared" si="1"/>
        <v>0.324929972</v>
      </c>
      <c r="Q869" s="214" t="str">
        <f t="shared" si="2"/>
        <v>Medium</v>
      </c>
    </row>
    <row r="870" ht="15.75" customHeight="1">
      <c r="A870" s="214" t="s">
        <v>1385</v>
      </c>
      <c r="B870" s="216">
        <v>1083.0</v>
      </c>
      <c r="C870" s="216">
        <v>501.0</v>
      </c>
      <c r="D870" s="217">
        <v>6.0</v>
      </c>
      <c r="E870" s="219" t="s">
        <v>242</v>
      </c>
      <c r="F870" s="219" t="s">
        <v>356</v>
      </c>
      <c r="G870" s="214" t="s">
        <v>405</v>
      </c>
      <c r="H870" s="221">
        <v>44255.0</v>
      </c>
      <c r="I870" s="219" t="s">
        <v>1386</v>
      </c>
      <c r="J870" s="219" t="s">
        <v>241</v>
      </c>
      <c r="K870" s="219" t="s">
        <v>504</v>
      </c>
      <c r="L870" s="214" t="s">
        <v>439</v>
      </c>
      <c r="M870" s="222">
        <v>2021.0</v>
      </c>
      <c r="N870" s="214" t="s">
        <v>494</v>
      </c>
      <c r="O870" s="223">
        <v>1.0</v>
      </c>
      <c r="P870" s="224">
        <f t="shared" si="1"/>
        <v>0.4626038781</v>
      </c>
      <c r="Q870" s="214" t="str">
        <f t="shared" si="2"/>
        <v>Medium</v>
      </c>
    </row>
    <row r="871" ht="15.75" customHeight="1">
      <c r="A871" s="214" t="s">
        <v>1387</v>
      </c>
      <c r="B871" s="216">
        <v>2401.0</v>
      </c>
      <c r="C871" s="216">
        <v>1163.0</v>
      </c>
      <c r="D871" s="217">
        <v>10.0</v>
      </c>
      <c r="E871" s="219" t="s">
        <v>216</v>
      </c>
      <c r="F871" s="219" t="s">
        <v>361</v>
      </c>
      <c r="G871" s="214" t="s">
        <v>392</v>
      </c>
      <c r="H871" s="221">
        <v>45050.0</v>
      </c>
      <c r="I871" s="219" t="s">
        <v>1388</v>
      </c>
      <c r="J871" s="219" t="s">
        <v>313</v>
      </c>
      <c r="K871" s="219" t="s">
        <v>526</v>
      </c>
      <c r="L871" s="214" t="s">
        <v>469</v>
      </c>
      <c r="M871" s="222">
        <v>2023.0</v>
      </c>
      <c r="N871" s="214" t="s">
        <v>411</v>
      </c>
      <c r="O871" s="223">
        <v>2.0</v>
      </c>
      <c r="P871" s="224">
        <f t="shared" si="1"/>
        <v>0.4843815077</v>
      </c>
      <c r="Q871" s="214" t="str">
        <f t="shared" si="2"/>
        <v>Medium</v>
      </c>
    </row>
    <row r="872" ht="15.75" customHeight="1">
      <c r="A872" s="214" t="s">
        <v>1387</v>
      </c>
      <c r="B872" s="216">
        <v>2401.0</v>
      </c>
      <c r="C872" s="216">
        <v>1163.0</v>
      </c>
      <c r="D872" s="217">
        <v>10.0</v>
      </c>
      <c r="E872" s="219" t="s">
        <v>216</v>
      </c>
      <c r="F872" s="219" t="s">
        <v>361</v>
      </c>
      <c r="G872" s="214" t="s">
        <v>392</v>
      </c>
      <c r="H872" s="221">
        <v>43943.0</v>
      </c>
      <c r="I872" s="219" t="s">
        <v>1389</v>
      </c>
      <c r="J872" s="219" t="s">
        <v>117</v>
      </c>
      <c r="K872" s="219" t="s">
        <v>423</v>
      </c>
      <c r="L872" s="214" t="s">
        <v>418</v>
      </c>
      <c r="M872" s="222">
        <v>2020.0</v>
      </c>
      <c r="N872" s="214" t="s">
        <v>542</v>
      </c>
      <c r="O872" s="223">
        <v>2.0</v>
      </c>
      <c r="P872" s="224">
        <f t="shared" si="1"/>
        <v>0.4843815077</v>
      </c>
      <c r="Q872" s="214" t="str">
        <f t="shared" si="2"/>
        <v>Medium</v>
      </c>
    </row>
    <row r="873" ht="15.75" customHeight="1">
      <c r="A873" s="214" t="s">
        <v>1387</v>
      </c>
      <c r="B873" s="216">
        <v>2401.0</v>
      </c>
      <c r="C873" s="216">
        <v>1163.0</v>
      </c>
      <c r="D873" s="217">
        <v>10.0</v>
      </c>
      <c r="E873" s="219" t="s">
        <v>216</v>
      </c>
      <c r="F873" s="219" t="s">
        <v>361</v>
      </c>
      <c r="G873" s="214" t="s">
        <v>392</v>
      </c>
      <c r="H873" s="221">
        <v>44421.0</v>
      </c>
      <c r="I873" s="219" t="s">
        <v>1390</v>
      </c>
      <c r="J873" s="219" t="s">
        <v>223</v>
      </c>
      <c r="K873" s="219" t="s">
        <v>473</v>
      </c>
      <c r="L873" s="214" t="s">
        <v>445</v>
      </c>
      <c r="M873" s="222">
        <v>2021.0</v>
      </c>
      <c r="N873" s="214" t="s">
        <v>523</v>
      </c>
      <c r="O873" s="223">
        <v>3.0</v>
      </c>
      <c r="P873" s="224">
        <f t="shared" si="1"/>
        <v>0.4843815077</v>
      </c>
      <c r="Q873" s="214" t="str">
        <f t="shared" si="2"/>
        <v>Medium</v>
      </c>
    </row>
    <row r="874" ht="15.75" customHeight="1">
      <c r="A874" s="214" t="s">
        <v>1387</v>
      </c>
      <c r="B874" s="216">
        <v>1045.0</v>
      </c>
      <c r="C874" s="216">
        <v>267.0</v>
      </c>
      <c r="D874" s="217">
        <v>11.0</v>
      </c>
      <c r="E874" s="219" t="s">
        <v>157</v>
      </c>
      <c r="F874" s="219" t="s">
        <v>358</v>
      </c>
      <c r="G874" s="214" t="s">
        <v>351</v>
      </c>
      <c r="H874" s="221">
        <v>45050.0</v>
      </c>
      <c r="I874" s="219" t="s">
        <v>1388</v>
      </c>
      <c r="J874" s="219" t="s">
        <v>313</v>
      </c>
      <c r="K874" s="219" t="s">
        <v>526</v>
      </c>
      <c r="L874" s="214" t="s">
        <v>469</v>
      </c>
      <c r="M874" s="222">
        <v>2023.0</v>
      </c>
      <c r="N874" s="214" t="s">
        <v>411</v>
      </c>
      <c r="O874" s="223">
        <v>2.0</v>
      </c>
      <c r="P874" s="224">
        <f t="shared" si="1"/>
        <v>0.2555023923</v>
      </c>
      <c r="Q874" s="214" t="str">
        <f t="shared" si="2"/>
        <v>Medium</v>
      </c>
    </row>
    <row r="875" ht="15.75" customHeight="1">
      <c r="A875" s="214" t="s">
        <v>1387</v>
      </c>
      <c r="B875" s="216">
        <v>1045.0</v>
      </c>
      <c r="C875" s="216">
        <v>267.0</v>
      </c>
      <c r="D875" s="217">
        <v>11.0</v>
      </c>
      <c r="E875" s="219" t="s">
        <v>157</v>
      </c>
      <c r="F875" s="219" t="s">
        <v>358</v>
      </c>
      <c r="G875" s="214" t="s">
        <v>351</v>
      </c>
      <c r="H875" s="221">
        <v>43943.0</v>
      </c>
      <c r="I875" s="219" t="s">
        <v>1389</v>
      </c>
      <c r="J875" s="219" t="s">
        <v>117</v>
      </c>
      <c r="K875" s="219" t="s">
        <v>423</v>
      </c>
      <c r="L875" s="214" t="s">
        <v>418</v>
      </c>
      <c r="M875" s="222">
        <v>2020.0</v>
      </c>
      <c r="N875" s="214" t="s">
        <v>542</v>
      </c>
      <c r="O875" s="223">
        <v>2.0</v>
      </c>
      <c r="P875" s="224">
        <f t="shared" si="1"/>
        <v>0.2555023923</v>
      </c>
      <c r="Q875" s="214" t="str">
        <f t="shared" si="2"/>
        <v>Medium</v>
      </c>
    </row>
    <row r="876" ht="15.75" customHeight="1">
      <c r="A876" s="214" t="s">
        <v>1387</v>
      </c>
      <c r="B876" s="216">
        <v>1045.0</v>
      </c>
      <c r="C876" s="216">
        <v>267.0</v>
      </c>
      <c r="D876" s="217">
        <v>11.0</v>
      </c>
      <c r="E876" s="219" t="s">
        <v>157</v>
      </c>
      <c r="F876" s="219" t="s">
        <v>358</v>
      </c>
      <c r="G876" s="214" t="s">
        <v>351</v>
      </c>
      <c r="H876" s="221">
        <v>44421.0</v>
      </c>
      <c r="I876" s="219" t="s">
        <v>1390</v>
      </c>
      <c r="J876" s="219" t="s">
        <v>223</v>
      </c>
      <c r="K876" s="219" t="s">
        <v>473</v>
      </c>
      <c r="L876" s="214" t="s">
        <v>445</v>
      </c>
      <c r="M876" s="222">
        <v>2021.0</v>
      </c>
      <c r="N876" s="214" t="s">
        <v>523</v>
      </c>
      <c r="O876" s="223">
        <v>3.0</v>
      </c>
      <c r="P876" s="224">
        <f t="shared" si="1"/>
        <v>0.2555023923</v>
      </c>
      <c r="Q876" s="214" t="str">
        <f t="shared" si="2"/>
        <v>Medium</v>
      </c>
    </row>
    <row r="877" ht="15.75" customHeight="1">
      <c r="A877" s="214" t="s">
        <v>1391</v>
      </c>
      <c r="B877" s="216">
        <v>7806.0</v>
      </c>
      <c r="C877" s="216">
        <v>1127.0</v>
      </c>
      <c r="D877" s="217">
        <v>1.0</v>
      </c>
      <c r="E877" s="219" t="s">
        <v>242</v>
      </c>
      <c r="F877" s="219" t="s">
        <v>317</v>
      </c>
      <c r="G877" s="214" t="s">
        <v>350</v>
      </c>
      <c r="H877" s="221">
        <v>45127.0</v>
      </c>
      <c r="I877" s="219" t="s">
        <v>1392</v>
      </c>
      <c r="J877" s="219" t="s">
        <v>241</v>
      </c>
      <c r="K877" s="219" t="s">
        <v>493</v>
      </c>
      <c r="L877" s="214" t="s">
        <v>471</v>
      </c>
      <c r="M877" s="222">
        <v>2023.0</v>
      </c>
      <c r="N877" s="214" t="s">
        <v>404</v>
      </c>
      <c r="O877" s="223">
        <v>3.0</v>
      </c>
      <c r="P877" s="224">
        <f t="shared" si="1"/>
        <v>0.1443761209</v>
      </c>
      <c r="Q877" s="214" t="str">
        <f t="shared" si="2"/>
        <v>High</v>
      </c>
    </row>
    <row r="878" ht="15.75" customHeight="1">
      <c r="A878" s="214" t="s">
        <v>1393</v>
      </c>
      <c r="B878" s="216">
        <v>5263.0</v>
      </c>
      <c r="C878" s="216">
        <v>1743.0</v>
      </c>
      <c r="D878" s="217">
        <v>19.0</v>
      </c>
      <c r="E878" s="219" t="s">
        <v>216</v>
      </c>
      <c r="F878" s="219" t="s">
        <v>347</v>
      </c>
      <c r="G878" s="214" t="s">
        <v>350</v>
      </c>
      <c r="H878" s="221">
        <v>44801.0</v>
      </c>
      <c r="I878" s="219" t="s">
        <v>1394</v>
      </c>
      <c r="J878" s="219" t="s">
        <v>159</v>
      </c>
      <c r="K878" s="219" t="s">
        <v>394</v>
      </c>
      <c r="L878" s="214" t="s">
        <v>461</v>
      </c>
      <c r="M878" s="222">
        <v>2022.0</v>
      </c>
      <c r="N878" s="214" t="s">
        <v>523</v>
      </c>
      <c r="O878" s="223">
        <v>3.0</v>
      </c>
      <c r="P878" s="224">
        <f t="shared" si="1"/>
        <v>0.3311799354</v>
      </c>
      <c r="Q878" s="214" t="str">
        <f t="shared" si="2"/>
        <v>High</v>
      </c>
    </row>
    <row r="879" ht="15.75" customHeight="1">
      <c r="A879" s="214" t="s">
        <v>1395</v>
      </c>
      <c r="B879" s="216">
        <v>6147.0</v>
      </c>
      <c r="C879" s="216">
        <v>2526.0</v>
      </c>
      <c r="D879" s="217">
        <v>6.0</v>
      </c>
      <c r="E879" s="219" t="s">
        <v>242</v>
      </c>
      <c r="F879" s="219" t="s">
        <v>356</v>
      </c>
      <c r="G879" s="214" t="s">
        <v>351</v>
      </c>
      <c r="H879" s="221">
        <v>44999.0</v>
      </c>
      <c r="I879" s="219" t="s">
        <v>1396</v>
      </c>
      <c r="J879" s="219" t="s">
        <v>241</v>
      </c>
      <c r="K879" s="219" t="s">
        <v>493</v>
      </c>
      <c r="L879" s="214" t="s">
        <v>467</v>
      </c>
      <c r="M879" s="222">
        <v>2023.0</v>
      </c>
      <c r="N879" s="214" t="s">
        <v>433</v>
      </c>
      <c r="O879" s="223">
        <v>1.0</v>
      </c>
      <c r="P879" s="224">
        <f t="shared" si="1"/>
        <v>0.410932162</v>
      </c>
      <c r="Q879" s="214" t="str">
        <f t="shared" si="2"/>
        <v>High</v>
      </c>
    </row>
    <row r="880" ht="15.75" customHeight="1">
      <c r="A880" s="214" t="s">
        <v>1397</v>
      </c>
      <c r="B880" s="216">
        <v>7484.0</v>
      </c>
      <c r="C880" s="216">
        <v>2871.0</v>
      </c>
      <c r="D880" s="217">
        <v>15.0</v>
      </c>
      <c r="E880" s="219" t="s">
        <v>157</v>
      </c>
      <c r="F880" s="219" t="s">
        <v>358</v>
      </c>
      <c r="G880" s="214" t="s">
        <v>392</v>
      </c>
      <c r="H880" s="221">
        <v>45237.0</v>
      </c>
      <c r="I880" s="219" t="s">
        <v>1398</v>
      </c>
      <c r="J880" s="219" t="s">
        <v>159</v>
      </c>
      <c r="K880" s="219" t="s">
        <v>409</v>
      </c>
      <c r="L880" s="214" t="s">
        <v>429</v>
      </c>
      <c r="M880" s="222">
        <v>2023.0</v>
      </c>
      <c r="N880" s="214" t="s">
        <v>425</v>
      </c>
      <c r="O880" s="223">
        <v>4.0</v>
      </c>
      <c r="P880" s="224">
        <f t="shared" si="1"/>
        <v>0.3836183859</v>
      </c>
      <c r="Q880" s="214" t="str">
        <f t="shared" si="2"/>
        <v>High</v>
      </c>
    </row>
    <row r="881" ht="15.75" customHeight="1">
      <c r="A881" s="214" t="s">
        <v>1397</v>
      </c>
      <c r="B881" s="216">
        <v>7484.0</v>
      </c>
      <c r="C881" s="216">
        <v>2871.0</v>
      </c>
      <c r="D881" s="217">
        <v>15.0</v>
      </c>
      <c r="E881" s="219" t="s">
        <v>157</v>
      </c>
      <c r="F881" s="219" t="s">
        <v>358</v>
      </c>
      <c r="G881" s="214" t="s">
        <v>392</v>
      </c>
      <c r="H881" s="221">
        <v>45398.0</v>
      </c>
      <c r="I881" s="219" t="s">
        <v>1399</v>
      </c>
      <c r="J881" s="219" t="s">
        <v>271</v>
      </c>
      <c r="K881" s="219" t="s">
        <v>398</v>
      </c>
      <c r="L881" s="214" t="s">
        <v>480</v>
      </c>
      <c r="M881" s="222">
        <v>2024.0</v>
      </c>
      <c r="N881" s="214" t="s">
        <v>542</v>
      </c>
      <c r="O881" s="223">
        <v>2.0</v>
      </c>
      <c r="P881" s="224">
        <f t="shared" si="1"/>
        <v>0.3836183859</v>
      </c>
      <c r="Q881" s="214" t="str">
        <f t="shared" si="2"/>
        <v>High</v>
      </c>
    </row>
    <row r="882" ht="15.75" customHeight="1">
      <c r="A882" s="214" t="s">
        <v>1397</v>
      </c>
      <c r="B882" s="216">
        <v>7700.0</v>
      </c>
      <c r="C882" s="216">
        <v>2712.0</v>
      </c>
      <c r="D882" s="217">
        <v>1.0</v>
      </c>
      <c r="E882" s="219" t="s">
        <v>216</v>
      </c>
      <c r="F882" s="219" t="s">
        <v>347</v>
      </c>
      <c r="G882" s="214" t="s">
        <v>350</v>
      </c>
      <c r="H882" s="221">
        <v>45237.0</v>
      </c>
      <c r="I882" s="219" t="s">
        <v>1398</v>
      </c>
      <c r="J882" s="219" t="s">
        <v>159</v>
      </c>
      <c r="K882" s="219" t="s">
        <v>409</v>
      </c>
      <c r="L882" s="214" t="s">
        <v>429</v>
      </c>
      <c r="M882" s="222">
        <v>2023.0</v>
      </c>
      <c r="N882" s="214" t="s">
        <v>425</v>
      </c>
      <c r="O882" s="223">
        <v>4.0</v>
      </c>
      <c r="P882" s="224">
        <f t="shared" si="1"/>
        <v>0.3522077922</v>
      </c>
      <c r="Q882" s="214" t="str">
        <f t="shared" si="2"/>
        <v>High</v>
      </c>
    </row>
    <row r="883" ht="15.75" customHeight="1">
      <c r="A883" s="214" t="s">
        <v>1397</v>
      </c>
      <c r="B883" s="216">
        <v>7700.0</v>
      </c>
      <c r="C883" s="216">
        <v>2712.0</v>
      </c>
      <c r="D883" s="217">
        <v>1.0</v>
      </c>
      <c r="E883" s="219" t="s">
        <v>216</v>
      </c>
      <c r="F883" s="219" t="s">
        <v>347</v>
      </c>
      <c r="G883" s="214" t="s">
        <v>350</v>
      </c>
      <c r="H883" s="221">
        <v>45398.0</v>
      </c>
      <c r="I883" s="219" t="s">
        <v>1399</v>
      </c>
      <c r="J883" s="219" t="s">
        <v>271</v>
      </c>
      <c r="K883" s="219" t="s">
        <v>398</v>
      </c>
      <c r="L883" s="214" t="s">
        <v>480</v>
      </c>
      <c r="M883" s="222">
        <v>2024.0</v>
      </c>
      <c r="N883" s="214" t="s">
        <v>542</v>
      </c>
      <c r="O883" s="223">
        <v>2.0</v>
      </c>
      <c r="P883" s="224">
        <f t="shared" si="1"/>
        <v>0.3522077922</v>
      </c>
      <c r="Q883" s="214" t="str">
        <f t="shared" si="2"/>
        <v>High</v>
      </c>
    </row>
    <row r="884" ht="15.75" customHeight="1">
      <c r="A884" s="214" t="s">
        <v>1400</v>
      </c>
      <c r="B884" s="216">
        <v>8537.0</v>
      </c>
      <c r="C884" s="216">
        <v>3586.0</v>
      </c>
      <c r="D884" s="217">
        <v>13.0</v>
      </c>
      <c r="E884" s="219" t="s">
        <v>242</v>
      </c>
      <c r="F884" s="219" t="s">
        <v>317</v>
      </c>
      <c r="G884" s="214" t="s">
        <v>392</v>
      </c>
      <c r="H884" s="221">
        <v>44820.0</v>
      </c>
      <c r="I884" s="219" t="s">
        <v>1401</v>
      </c>
      <c r="J884" s="219" t="s">
        <v>223</v>
      </c>
      <c r="K884" s="219" t="s">
        <v>473</v>
      </c>
      <c r="L884" s="214" t="s">
        <v>462</v>
      </c>
      <c r="M884" s="222">
        <v>2022.0</v>
      </c>
      <c r="N884" s="214" t="s">
        <v>536</v>
      </c>
      <c r="O884" s="223">
        <v>3.0</v>
      </c>
      <c r="P884" s="224">
        <f t="shared" si="1"/>
        <v>0.4200538831</v>
      </c>
      <c r="Q884" s="214" t="str">
        <f t="shared" si="2"/>
        <v>High</v>
      </c>
    </row>
    <row r="885" ht="15.75" customHeight="1">
      <c r="A885" s="214" t="s">
        <v>1402</v>
      </c>
      <c r="B885" s="216">
        <v>8858.0</v>
      </c>
      <c r="C885" s="216">
        <v>3394.0</v>
      </c>
      <c r="D885" s="217">
        <v>6.0</v>
      </c>
      <c r="E885" s="219" t="s">
        <v>216</v>
      </c>
      <c r="F885" s="219" t="s">
        <v>359</v>
      </c>
      <c r="G885" s="214" t="s">
        <v>405</v>
      </c>
      <c r="H885" s="221">
        <v>45596.0</v>
      </c>
      <c r="I885" s="219" t="s">
        <v>1403</v>
      </c>
      <c r="J885" s="219" t="s">
        <v>117</v>
      </c>
      <c r="K885" s="219" t="s">
        <v>496</v>
      </c>
      <c r="L885" s="214" t="s">
        <v>485</v>
      </c>
      <c r="M885" s="222">
        <v>2024.0</v>
      </c>
      <c r="N885" s="214" t="s">
        <v>414</v>
      </c>
      <c r="O885" s="223">
        <v>4.0</v>
      </c>
      <c r="P885" s="224">
        <f t="shared" si="1"/>
        <v>0.3831564687</v>
      </c>
      <c r="Q885" s="214" t="str">
        <f t="shared" si="2"/>
        <v>High</v>
      </c>
    </row>
    <row r="886" ht="15.75" customHeight="1">
      <c r="A886" s="214" t="s">
        <v>1404</v>
      </c>
      <c r="B886" s="216">
        <v>5313.0</v>
      </c>
      <c r="C886" s="216">
        <v>2037.0</v>
      </c>
      <c r="D886" s="217">
        <v>7.0</v>
      </c>
      <c r="E886" s="219" t="s">
        <v>157</v>
      </c>
      <c r="F886" s="219" t="s">
        <v>354</v>
      </c>
      <c r="G886" s="214" t="s">
        <v>351</v>
      </c>
      <c r="H886" s="221">
        <v>45621.0</v>
      </c>
      <c r="I886" s="219" t="s">
        <v>1405</v>
      </c>
      <c r="J886" s="219" t="s">
        <v>117</v>
      </c>
      <c r="K886" s="219" t="s">
        <v>508</v>
      </c>
      <c r="L886" s="214" t="s">
        <v>486</v>
      </c>
      <c r="M886" s="222">
        <v>2024.0</v>
      </c>
      <c r="N886" s="214" t="s">
        <v>425</v>
      </c>
      <c r="O886" s="223">
        <v>4.0</v>
      </c>
      <c r="P886" s="224">
        <f t="shared" si="1"/>
        <v>0.3833992095</v>
      </c>
      <c r="Q886" s="214" t="str">
        <f t="shared" si="2"/>
        <v>High</v>
      </c>
    </row>
    <row r="887" ht="15.75" customHeight="1">
      <c r="A887" s="214" t="s">
        <v>1404</v>
      </c>
      <c r="B887" s="216">
        <v>5313.0</v>
      </c>
      <c r="C887" s="216">
        <v>2037.0</v>
      </c>
      <c r="D887" s="217">
        <v>7.0</v>
      </c>
      <c r="E887" s="219" t="s">
        <v>157</v>
      </c>
      <c r="F887" s="219" t="s">
        <v>354</v>
      </c>
      <c r="G887" s="214" t="s">
        <v>351</v>
      </c>
      <c r="H887" s="221">
        <v>44498.0</v>
      </c>
      <c r="I887" s="219" t="s">
        <v>1406</v>
      </c>
      <c r="J887" s="219" t="s">
        <v>241</v>
      </c>
      <c r="K887" s="219" t="s">
        <v>541</v>
      </c>
      <c r="L887" s="214" t="s">
        <v>413</v>
      </c>
      <c r="M887" s="222">
        <v>2021.0</v>
      </c>
      <c r="N887" s="214" t="s">
        <v>414</v>
      </c>
      <c r="O887" s="223">
        <v>4.0</v>
      </c>
      <c r="P887" s="224">
        <f t="shared" si="1"/>
        <v>0.3833992095</v>
      </c>
      <c r="Q887" s="214" t="str">
        <f t="shared" si="2"/>
        <v>High</v>
      </c>
    </row>
    <row r="888" ht="15.75" customHeight="1">
      <c r="A888" s="214" t="s">
        <v>1407</v>
      </c>
      <c r="B888" s="216">
        <v>3281.0</v>
      </c>
      <c r="C888" s="216">
        <v>471.0</v>
      </c>
      <c r="D888" s="217">
        <v>7.0</v>
      </c>
      <c r="E888" s="219" t="s">
        <v>216</v>
      </c>
      <c r="F888" s="219" t="s">
        <v>347</v>
      </c>
      <c r="G888" s="214" t="s">
        <v>406</v>
      </c>
      <c r="H888" s="221">
        <v>45287.0</v>
      </c>
      <c r="I888" s="219" t="s">
        <v>1408</v>
      </c>
      <c r="J888" s="219" t="s">
        <v>117</v>
      </c>
      <c r="K888" s="219" t="s">
        <v>423</v>
      </c>
      <c r="L888" s="214" t="s">
        <v>476</v>
      </c>
      <c r="M888" s="222">
        <v>2023.0</v>
      </c>
      <c r="N888" s="214" t="s">
        <v>400</v>
      </c>
      <c r="O888" s="223">
        <v>4.0</v>
      </c>
      <c r="P888" s="224">
        <f t="shared" si="1"/>
        <v>0.1435537946</v>
      </c>
      <c r="Q888" s="214" t="str">
        <f t="shared" si="2"/>
        <v>Medium</v>
      </c>
    </row>
    <row r="889" ht="15.75" customHeight="1">
      <c r="A889" s="214" t="s">
        <v>1407</v>
      </c>
      <c r="B889" s="216">
        <v>3281.0</v>
      </c>
      <c r="C889" s="216">
        <v>471.0</v>
      </c>
      <c r="D889" s="217">
        <v>7.0</v>
      </c>
      <c r="E889" s="219" t="s">
        <v>216</v>
      </c>
      <c r="F889" s="219" t="s">
        <v>347</v>
      </c>
      <c r="G889" s="214" t="s">
        <v>406</v>
      </c>
      <c r="H889" s="221">
        <v>45102.0</v>
      </c>
      <c r="I889" s="219" t="s">
        <v>1409</v>
      </c>
      <c r="J889" s="219" t="s">
        <v>271</v>
      </c>
      <c r="K889" s="219" t="s">
        <v>568</v>
      </c>
      <c r="L889" s="214" t="s">
        <v>395</v>
      </c>
      <c r="M889" s="222">
        <v>2023.0</v>
      </c>
      <c r="N889" s="214" t="s">
        <v>396</v>
      </c>
      <c r="O889" s="223">
        <v>2.0</v>
      </c>
      <c r="P889" s="224">
        <f t="shared" si="1"/>
        <v>0.1435537946</v>
      </c>
      <c r="Q889" s="214" t="str">
        <f t="shared" si="2"/>
        <v>Medium</v>
      </c>
    </row>
    <row r="890" ht="15.75" customHeight="1">
      <c r="A890" s="214" t="s">
        <v>1410</v>
      </c>
      <c r="B890" s="216">
        <v>8681.0</v>
      </c>
      <c r="C890" s="216">
        <v>2458.0</v>
      </c>
      <c r="D890" s="217">
        <v>9.0</v>
      </c>
      <c r="E890" s="219" t="s">
        <v>242</v>
      </c>
      <c r="F890" s="219" t="s">
        <v>356</v>
      </c>
      <c r="G890" s="214" t="s">
        <v>350</v>
      </c>
      <c r="H890" s="221">
        <v>44075.0</v>
      </c>
      <c r="I890" s="219" t="s">
        <v>1411</v>
      </c>
      <c r="J890" s="219" t="s">
        <v>223</v>
      </c>
      <c r="K890" s="219" t="s">
        <v>428</v>
      </c>
      <c r="L890" s="214" t="s">
        <v>434</v>
      </c>
      <c r="M890" s="222">
        <v>2020.0</v>
      </c>
      <c r="N890" s="214" t="s">
        <v>536</v>
      </c>
      <c r="O890" s="223">
        <v>3.0</v>
      </c>
      <c r="P890" s="224">
        <f t="shared" si="1"/>
        <v>0.2831471029</v>
      </c>
      <c r="Q890" s="214" t="str">
        <f t="shared" si="2"/>
        <v>High</v>
      </c>
    </row>
    <row r="891" ht="15.75" customHeight="1">
      <c r="A891" s="214" t="s">
        <v>1412</v>
      </c>
      <c r="B891" s="216">
        <v>6195.0</v>
      </c>
      <c r="C891" s="216">
        <v>1556.0</v>
      </c>
      <c r="D891" s="217">
        <v>18.0</v>
      </c>
      <c r="E891" s="219" t="s">
        <v>216</v>
      </c>
      <c r="F891" s="219" t="s">
        <v>347</v>
      </c>
      <c r="G891" s="214" t="s">
        <v>406</v>
      </c>
      <c r="H891" s="221">
        <v>45689.0</v>
      </c>
      <c r="I891" s="219" t="s">
        <v>1413</v>
      </c>
      <c r="J891" s="219" t="s">
        <v>271</v>
      </c>
      <c r="K891" s="219" t="s">
        <v>449</v>
      </c>
      <c r="L891" s="214" t="s">
        <v>488</v>
      </c>
      <c r="M891" s="222">
        <v>2025.0</v>
      </c>
      <c r="N891" s="214" t="s">
        <v>494</v>
      </c>
      <c r="O891" s="223">
        <v>1.0</v>
      </c>
      <c r="P891" s="224">
        <f t="shared" si="1"/>
        <v>0.2511702986</v>
      </c>
      <c r="Q891" s="214" t="str">
        <f t="shared" si="2"/>
        <v>High</v>
      </c>
    </row>
    <row r="892" ht="15.75" customHeight="1">
      <c r="A892" s="214" t="s">
        <v>1414</v>
      </c>
      <c r="B892" s="216">
        <v>3877.0</v>
      </c>
      <c r="C892" s="216">
        <v>481.0</v>
      </c>
      <c r="D892" s="217">
        <v>16.0</v>
      </c>
      <c r="E892" s="219" t="s">
        <v>216</v>
      </c>
      <c r="F892" s="219" t="s">
        <v>359</v>
      </c>
      <c r="G892" s="214" t="s">
        <v>351</v>
      </c>
      <c r="H892" s="221">
        <v>45129.0</v>
      </c>
      <c r="I892" s="219" t="s">
        <v>1415</v>
      </c>
      <c r="J892" s="219" t="s">
        <v>223</v>
      </c>
      <c r="K892" s="219" t="s">
        <v>473</v>
      </c>
      <c r="L892" s="214" t="s">
        <v>471</v>
      </c>
      <c r="M892" s="222">
        <v>2023.0</v>
      </c>
      <c r="N892" s="214" t="s">
        <v>404</v>
      </c>
      <c r="O892" s="223">
        <v>3.0</v>
      </c>
      <c r="P892" s="224">
        <f t="shared" si="1"/>
        <v>0.1240649987</v>
      </c>
      <c r="Q892" s="214" t="str">
        <f t="shared" si="2"/>
        <v>Medium</v>
      </c>
    </row>
    <row r="893" ht="15.75" customHeight="1">
      <c r="A893" s="214" t="s">
        <v>1414</v>
      </c>
      <c r="B893" s="216">
        <v>3877.0</v>
      </c>
      <c r="C893" s="216">
        <v>481.0</v>
      </c>
      <c r="D893" s="217">
        <v>16.0</v>
      </c>
      <c r="E893" s="219" t="s">
        <v>216</v>
      </c>
      <c r="F893" s="219" t="s">
        <v>359</v>
      </c>
      <c r="G893" s="214" t="s">
        <v>351</v>
      </c>
      <c r="H893" s="221">
        <v>44596.0</v>
      </c>
      <c r="I893" s="219" t="s">
        <v>1416</v>
      </c>
      <c r="J893" s="219" t="s">
        <v>223</v>
      </c>
      <c r="K893" s="219" t="s">
        <v>428</v>
      </c>
      <c r="L893" s="214" t="s">
        <v>454</v>
      </c>
      <c r="M893" s="222">
        <v>2022.0</v>
      </c>
      <c r="N893" s="214" t="s">
        <v>494</v>
      </c>
      <c r="O893" s="223">
        <v>1.0</v>
      </c>
      <c r="P893" s="224">
        <f t="shared" si="1"/>
        <v>0.1240649987</v>
      </c>
      <c r="Q893" s="214" t="str">
        <f t="shared" si="2"/>
        <v>Medium</v>
      </c>
    </row>
    <row r="894" ht="15.75" customHeight="1">
      <c r="A894" s="214" t="s">
        <v>1417</v>
      </c>
      <c r="B894" s="216">
        <v>9369.0</v>
      </c>
      <c r="C894" s="216">
        <v>3297.0</v>
      </c>
      <c r="D894" s="217">
        <v>6.0</v>
      </c>
      <c r="E894" s="219" t="s">
        <v>157</v>
      </c>
      <c r="F894" s="219" t="s">
        <v>354</v>
      </c>
      <c r="G894" s="214" t="s">
        <v>351</v>
      </c>
      <c r="H894" s="221">
        <v>45196.0</v>
      </c>
      <c r="I894" s="219" t="s">
        <v>1418</v>
      </c>
      <c r="J894" s="219" t="s">
        <v>159</v>
      </c>
      <c r="K894" s="219" t="s">
        <v>409</v>
      </c>
      <c r="L894" s="214" t="s">
        <v>474</v>
      </c>
      <c r="M894" s="222">
        <v>2023.0</v>
      </c>
      <c r="N894" s="214" t="s">
        <v>536</v>
      </c>
      <c r="O894" s="223">
        <v>3.0</v>
      </c>
      <c r="P894" s="224">
        <f t="shared" si="1"/>
        <v>0.3519052193</v>
      </c>
      <c r="Q894" s="214" t="str">
        <f t="shared" si="2"/>
        <v>High</v>
      </c>
    </row>
    <row r="895" ht="15.75" customHeight="1">
      <c r="A895" s="214" t="s">
        <v>1417</v>
      </c>
      <c r="B895" s="216">
        <v>9369.0</v>
      </c>
      <c r="C895" s="216">
        <v>3297.0</v>
      </c>
      <c r="D895" s="217">
        <v>6.0</v>
      </c>
      <c r="E895" s="219" t="s">
        <v>157</v>
      </c>
      <c r="F895" s="219" t="s">
        <v>354</v>
      </c>
      <c r="G895" s="214" t="s">
        <v>351</v>
      </c>
      <c r="H895" s="221">
        <v>45687.0</v>
      </c>
      <c r="I895" s="219" t="s">
        <v>1419</v>
      </c>
      <c r="J895" s="219" t="s">
        <v>223</v>
      </c>
      <c r="K895" s="219" t="s">
        <v>428</v>
      </c>
      <c r="L895" s="214" t="s">
        <v>487</v>
      </c>
      <c r="M895" s="222">
        <v>2025.0</v>
      </c>
      <c r="N895" s="214" t="s">
        <v>497</v>
      </c>
      <c r="O895" s="223">
        <v>1.0</v>
      </c>
      <c r="P895" s="224">
        <f t="shared" si="1"/>
        <v>0.3519052193</v>
      </c>
      <c r="Q895" s="214" t="str">
        <f t="shared" si="2"/>
        <v>High</v>
      </c>
    </row>
    <row r="896" ht="15.75" customHeight="1">
      <c r="A896" s="214" t="s">
        <v>1417</v>
      </c>
      <c r="B896" s="216">
        <v>8680.0</v>
      </c>
      <c r="C896" s="216">
        <v>4068.0</v>
      </c>
      <c r="D896" s="217">
        <v>20.0</v>
      </c>
      <c r="E896" s="219" t="s">
        <v>157</v>
      </c>
      <c r="F896" s="219" t="s">
        <v>354</v>
      </c>
      <c r="G896" s="214" t="s">
        <v>350</v>
      </c>
      <c r="H896" s="221">
        <v>45196.0</v>
      </c>
      <c r="I896" s="219" t="s">
        <v>1418</v>
      </c>
      <c r="J896" s="219" t="s">
        <v>159</v>
      </c>
      <c r="K896" s="219" t="s">
        <v>409</v>
      </c>
      <c r="L896" s="214" t="s">
        <v>474</v>
      </c>
      <c r="M896" s="222">
        <v>2023.0</v>
      </c>
      <c r="N896" s="214" t="s">
        <v>536</v>
      </c>
      <c r="O896" s="223">
        <v>3.0</v>
      </c>
      <c r="P896" s="224">
        <f t="shared" si="1"/>
        <v>0.4686635945</v>
      </c>
      <c r="Q896" s="214" t="str">
        <f t="shared" si="2"/>
        <v>High</v>
      </c>
    </row>
    <row r="897" ht="15.75" customHeight="1">
      <c r="A897" s="214" t="s">
        <v>1417</v>
      </c>
      <c r="B897" s="216">
        <v>8680.0</v>
      </c>
      <c r="C897" s="216">
        <v>4068.0</v>
      </c>
      <c r="D897" s="217">
        <v>20.0</v>
      </c>
      <c r="E897" s="219" t="s">
        <v>157</v>
      </c>
      <c r="F897" s="219" t="s">
        <v>354</v>
      </c>
      <c r="G897" s="214" t="s">
        <v>350</v>
      </c>
      <c r="H897" s="221">
        <v>45687.0</v>
      </c>
      <c r="I897" s="219" t="s">
        <v>1419</v>
      </c>
      <c r="J897" s="219" t="s">
        <v>223</v>
      </c>
      <c r="K897" s="219" t="s">
        <v>428</v>
      </c>
      <c r="L897" s="214" t="s">
        <v>487</v>
      </c>
      <c r="M897" s="222">
        <v>2025.0</v>
      </c>
      <c r="N897" s="214" t="s">
        <v>497</v>
      </c>
      <c r="O897" s="223">
        <v>1.0</v>
      </c>
      <c r="P897" s="224">
        <f t="shared" si="1"/>
        <v>0.4686635945</v>
      </c>
      <c r="Q897" s="214" t="str">
        <f t="shared" si="2"/>
        <v>High</v>
      </c>
    </row>
    <row r="898" ht="15.75" customHeight="1">
      <c r="A898" s="214" t="s">
        <v>1417</v>
      </c>
      <c r="B898" s="216">
        <v>3067.0</v>
      </c>
      <c r="C898" s="216">
        <v>1475.0</v>
      </c>
      <c r="D898" s="217">
        <v>8.0</v>
      </c>
      <c r="E898" s="219" t="s">
        <v>157</v>
      </c>
      <c r="F898" s="219" t="s">
        <v>360</v>
      </c>
      <c r="G898" s="214" t="s">
        <v>392</v>
      </c>
      <c r="H898" s="221">
        <v>45196.0</v>
      </c>
      <c r="I898" s="219" t="s">
        <v>1418</v>
      </c>
      <c r="J898" s="219" t="s">
        <v>159</v>
      </c>
      <c r="K898" s="219" t="s">
        <v>409</v>
      </c>
      <c r="L898" s="214" t="s">
        <v>474</v>
      </c>
      <c r="M898" s="222">
        <v>2023.0</v>
      </c>
      <c r="N898" s="214" t="s">
        <v>536</v>
      </c>
      <c r="O898" s="223">
        <v>3.0</v>
      </c>
      <c r="P898" s="224">
        <f t="shared" si="1"/>
        <v>0.4809259863</v>
      </c>
      <c r="Q898" s="214" t="str">
        <f t="shared" si="2"/>
        <v>Medium</v>
      </c>
    </row>
    <row r="899" ht="15.75" customHeight="1">
      <c r="A899" s="214" t="s">
        <v>1417</v>
      </c>
      <c r="B899" s="216">
        <v>3067.0</v>
      </c>
      <c r="C899" s="216">
        <v>1475.0</v>
      </c>
      <c r="D899" s="217">
        <v>8.0</v>
      </c>
      <c r="E899" s="219" t="s">
        <v>157</v>
      </c>
      <c r="F899" s="219" t="s">
        <v>360</v>
      </c>
      <c r="G899" s="214" t="s">
        <v>392</v>
      </c>
      <c r="H899" s="221">
        <v>45687.0</v>
      </c>
      <c r="I899" s="219" t="s">
        <v>1419</v>
      </c>
      <c r="J899" s="219" t="s">
        <v>223</v>
      </c>
      <c r="K899" s="219" t="s">
        <v>428</v>
      </c>
      <c r="L899" s="214" t="s">
        <v>487</v>
      </c>
      <c r="M899" s="222">
        <v>2025.0</v>
      </c>
      <c r="N899" s="214" t="s">
        <v>497</v>
      </c>
      <c r="O899" s="223">
        <v>1.0</v>
      </c>
      <c r="P899" s="224">
        <f t="shared" si="1"/>
        <v>0.4809259863</v>
      </c>
      <c r="Q899" s="214" t="str">
        <f t="shared" si="2"/>
        <v>Medium</v>
      </c>
    </row>
    <row r="900" ht="15.75" customHeight="1">
      <c r="A900" s="214" t="s">
        <v>1420</v>
      </c>
      <c r="B900" s="216">
        <v>9002.0</v>
      </c>
      <c r="C900" s="216">
        <v>4197.0</v>
      </c>
      <c r="D900" s="217">
        <v>2.0</v>
      </c>
      <c r="E900" s="219" t="s">
        <v>242</v>
      </c>
      <c r="F900" s="219" t="s">
        <v>317</v>
      </c>
      <c r="G900" s="214" t="s">
        <v>406</v>
      </c>
      <c r="H900" s="221">
        <v>45672.0</v>
      </c>
      <c r="I900" s="219" t="s">
        <v>1421</v>
      </c>
      <c r="J900" s="219" t="s">
        <v>313</v>
      </c>
      <c r="K900" s="219" t="s">
        <v>518</v>
      </c>
      <c r="L900" s="214" t="s">
        <v>487</v>
      </c>
      <c r="M900" s="222">
        <v>2025.0</v>
      </c>
      <c r="N900" s="214" t="s">
        <v>497</v>
      </c>
      <c r="O900" s="223">
        <v>1.0</v>
      </c>
      <c r="P900" s="224">
        <f t="shared" si="1"/>
        <v>0.4662297267</v>
      </c>
      <c r="Q900" s="214" t="str">
        <f t="shared" si="2"/>
        <v>High</v>
      </c>
    </row>
    <row r="901" ht="15.75" customHeight="1">
      <c r="A901" s="214" t="s">
        <v>1420</v>
      </c>
      <c r="B901" s="216">
        <v>9002.0</v>
      </c>
      <c r="C901" s="216">
        <v>4197.0</v>
      </c>
      <c r="D901" s="217">
        <v>2.0</v>
      </c>
      <c r="E901" s="219" t="s">
        <v>242</v>
      </c>
      <c r="F901" s="219" t="s">
        <v>317</v>
      </c>
      <c r="G901" s="214" t="s">
        <v>406</v>
      </c>
      <c r="H901" s="221">
        <v>44283.0</v>
      </c>
      <c r="I901" s="219" t="s">
        <v>1422</v>
      </c>
      <c r="J901" s="219" t="s">
        <v>313</v>
      </c>
      <c r="K901" s="219" t="s">
        <v>512</v>
      </c>
      <c r="L901" s="214" t="s">
        <v>440</v>
      </c>
      <c r="M901" s="222">
        <v>2021.0</v>
      </c>
      <c r="N901" s="214" t="s">
        <v>433</v>
      </c>
      <c r="O901" s="223">
        <v>1.0</v>
      </c>
      <c r="P901" s="224">
        <f t="shared" si="1"/>
        <v>0.4662297267</v>
      </c>
      <c r="Q901" s="214" t="str">
        <f t="shared" si="2"/>
        <v>High</v>
      </c>
    </row>
    <row r="902" ht="15.75" customHeight="1">
      <c r="A902" s="214" t="s">
        <v>1423</v>
      </c>
      <c r="B902" s="216">
        <v>7105.0</v>
      </c>
      <c r="C902" s="216">
        <v>2782.0</v>
      </c>
      <c r="D902" s="217">
        <v>19.0</v>
      </c>
      <c r="E902" s="219" t="s">
        <v>242</v>
      </c>
      <c r="F902" s="219" t="s">
        <v>356</v>
      </c>
      <c r="G902" s="214" t="s">
        <v>405</v>
      </c>
      <c r="H902" s="221">
        <v>44555.0</v>
      </c>
      <c r="I902" s="219" t="s">
        <v>1424</v>
      </c>
      <c r="J902" s="219" t="s">
        <v>313</v>
      </c>
      <c r="K902" s="219" t="s">
        <v>512</v>
      </c>
      <c r="L902" s="214" t="s">
        <v>452</v>
      </c>
      <c r="M902" s="222">
        <v>2021.0</v>
      </c>
      <c r="N902" s="214" t="s">
        <v>400</v>
      </c>
      <c r="O902" s="223">
        <v>4.0</v>
      </c>
      <c r="P902" s="224">
        <f t="shared" si="1"/>
        <v>0.3915552428</v>
      </c>
      <c r="Q902" s="214" t="str">
        <f t="shared" si="2"/>
        <v>High</v>
      </c>
    </row>
    <row r="903" ht="15.75" customHeight="1">
      <c r="A903" s="214" t="s">
        <v>1425</v>
      </c>
      <c r="B903" s="216">
        <v>5317.0</v>
      </c>
      <c r="C903" s="216">
        <v>1345.0</v>
      </c>
      <c r="D903" s="217">
        <v>18.0</v>
      </c>
      <c r="E903" s="219" t="s">
        <v>216</v>
      </c>
      <c r="F903" s="219" t="s">
        <v>359</v>
      </c>
      <c r="G903" s="214" t="s">
        <v>351</v>
      </c>
      <c r="H903" s="221">
        <v>44960.0</v>
      </c>
      <c r="I903" s="219" t="s">
        <v>1426</v>
      </c>
      <c r="J903" s="219" t="s">
        <v>313</v>
      </c>
      <c r="K903" s="219" t="s">
        <v>512</v>
      </c>
      <c r="L903" s="214" t="s">
        <v>466</v>
      </c>
      <c r="M903" s="222">
        <v>2023.0</v>
      </c>
      <c r="N903" s="214" t="s">
        <v>494</v>
      </c>
      <c r="O903" s="223">
        <v>1.0</v>
      </c>
      <c r="P903" s="224">
        <f t="shared" si="1"/>
        <v>0.2529621967</v>
      </c>
      <c r="Q903" s="214" t="str">
        <f t="shared" si="2"/>
        <v>High</v>
      </c>
    </row>
    <row r="904" ht="15.75" customHeight="1">
      <c r="A904" s="214" t="s">
        <v>1425</v>
      </c>
      <c r="B904" s="216">
        <v>5317.0</v>
      </c>
      <c r="C904" s="216">
        <v>1345.0</v>
      </c>
      <c r="D904" s="217">
        <v>18.0</v>
      </c>
      <c r="E904" s="219" t="s">
        <v>216</v>
      </c>
      <c r="F904" s="219" t="s">
        <v>359</v>
      </c>
      <c r="G904" s="214" t="s">
        <v>351</v>
      </c>
      <c r="H904" s="221">
        <v>45044.0</v>
      </c>
      <c r="I904" s="219" t="s">
        <v>1427</v>
      </c>
      <c r="J904" s="219" t="s">
        <v>159</v>
      </c>
      <c r="K904" s="219" t="s">
        <v>409</v>
      </c>
      <c r="L904" s="214" t="s">
        <v>468</v>
      </c>
      <c r="M904" s="222">
        <v>2023.0</v>
      </c>
      <c r="N904" s="214" t="s">
        <v>542</v>
      </c>
      <c r="O904" s="223">
        <v>2.0</v>
      </c>
      <c r="P904" s="224">
        <f t="shared" si="1"/>
        <v>0.2529621967</v>
      </c>
      <c r="Q904" s="214" t="str">
        <f t="shared" si="2"/>
        <v>High</v>
      </c>
    </row>
    <row r="905" ht="15.75" customHeight="1">
      <c r="A905" s="214" t="s">
        <v>1425</v>
      </c>
      <c r="B905" s="216">
        <v>5317.0</v>
      </c>
      <c r="C905" s="216">
        <v>1345.0</v>
      </c>
      <c r="D905" s="217">
        <v>18.0</v>
      </c>
      <c r="E905" s="219" t="s">
        <v>216</v>
      </c>
      <c r="F905" s="219" t="s">
        <v>359</v>
      </c>
      <c r="G905" s="214" t="s">
        <v>351</v>
      </c>
      <c r="H905" s="221">
        <v>45618.0</v>
      </c>
      <c r="I905" s="219" t="s">
        <v>1428</v>
      </c>
      <c r="J905" s="219" t="s">
        <v>117</v>
      </c>
      <c r="K905" s="219" t="s">
        <v>508</v>
      </c>
      <c r="L905" s="214" t="s">
        <v>486</v>
      </c>
      <c r="M905" s="222">
        <v>2024.0</v>
      </c>
      <c r="N905" s="214" t="s">
        <v>425</v>
      </c>
      <c r="O905" s="223">
        <v>4.0</v>
      </c>
      <c r="P905" s="224">
        <f t="shared" si="1"/>
        <v>0.2529621967</v>
      </c>
      <c r="Q905" s="214" t="str">
        <f t="shared" si="2"/>
        <v>High</v>
      </c>
    </row>
    <row r="906" ht="15.75" customHeight="1">
      <c r="A906" s="214" t="s">
        <v>1425</v>
      </c>
      <c r="B906" s="216">
        <v>6304.0</v>
      </c>
      <c r="C906" s="216">
        <v>766.0</v>
      </c>
      <c r="D906" s="217">
        <v>14.0</v>
      </c>
      <c r="E906" s="219" t="s">
        <v>216</v>
      </c>
      <c r="F906" s="219" t="s">
        <v>344</v>
      </c>
      <c r="G906" s="214" t="s">
        <v>406</v>
      </c>
      <c r="H906" s="221">
        <v>44960.0</v>
      </c>
      <c r="I906" s="219" t="s">
        <v>1426</v>
      </c>
      <c r="J906" s="219" t="s">
        <v>313</v>
      </c>
      <c r="K906" s="219" t="s">
        <v>512</v>
      </c>
      <c r="L906" s="214" t="s">
        <v>466</v>
      </c>
      <c r="M906" s="222">
        <v>2023.0</v>
      </c>
      <c r="N906" s="214" t="s">
        <v>494</v>
      </c>
      <c r="O906" s="223">
        <v>1.0</v>
      </c>
      <c r="P906" s="224">
        <f t="shared" si="1"/>
        <v>0.1215101523</v>
      </c>
      <c r="Q906" s="214" t="str">
        <f t="shared" si="2"/>
        <v>High</v>
      </c>
    </row>
    <row r="907" ht="15.75" customHeight="1">
      <c r="A907" s="214" t="s">
        <v>1425</v>
      </c>
      <c r="B907" s="216">
        <v>6304.0</v>
      </c>
      <c r="C907" s="216">
        <v>766.0</v>
      </c>
      <c r="D907" s="217">
        <v>14.0</v>
      </c>
      <c r="E907" s="219" t="s">
        <v>216</v>
      </c>
      <c r="F907" s="219" t="s">
        <v>344</v>
      </c>
      <c r="G907" s="214" t="s">
        <v>406</v>
      </c>
      <c r="H907" s="221">
        <v>45044.0</v>
      </c>
      <c r="I907" s="219" t="s">
        <v>1427</v>
      </c>
      <c r="J907" s="219" t="s">
        <v>159</v>
      </c>
      <c r="K907" s="219" t="s">
        <v>409</v>
      </c>
      <c r="L907" s="214" t="s">
        <v>468</v>
      </c>
      <c r="M907" s="222">
        <v>2023.0</v>
      </c>
      <c r="N907" s="214" t="s">
        <v>542</v>
      </c>
      <c r="O907" s="223">
        <v>2.0</v>
      </c>
      <c r="P907" s="224">
        <f t="shared" si="1"/>
        <v>0.1215101523</v>
      </c>
      <c r="Q907" s="214" t="str">
        <f t="shared" si="2"/>
        <v>High</v>
      </c>
    </row>
    <row r="908" ht="15.75" customHeight="1">
      <c r="A908" s="214" t="s">
        <v>1425</v>
      </c>
      <c r="B908" s="216">
        <v>6304.0</v>
      </c>
      <c r="C908" s="216">
        <v>766.0</v>
      </c>
      <c r="D908" s="217">
        <v>14.0</v>
      </c>
      <c r="E908" s="219" t="s">
        <v>216</v>
      </c>
      <c r="F908" s="219" t="s">
        <v>344</v>
      </c>
      <c r="G908" s="214" t="s">
        <v>406</v>
      </c>
      <c r="H908" s="221">
        <v>45618.0</v>
      </c>
      <c r="I908" s="219" t="s">
        <v>1428</v>
      </c>
      <c r="J908" s="219" t="s">
        <v>117</v>
      </c>
      <c r="K908" s="219" t="s">
        <v>508</v>
      </c>
      <c r="L908" s="214" t="s">
        <v>486</v>
      </c>
      <c r="M908" s="222">
        <v>2024.0</v>
      </c>
      <c r="N908" s="214" t="s">
        <v>425</v>
      </c>
      <c r="O908" s="223">
        <v>4.0</v>
      </c>
      <c r="P908" s="224">
        <f t="shared" si="1"/>
        <v>0.1215101523</v>
      </c>
      <c r="Q908" s="214" t="str">
        <f t="shared" si="2"/>
        <v>High</v>
      </c>
    </row>
    <row r="909" ht="15.75" customHeight="1">
      <c r="A909" s="214" t="s">
        <v>1429</v>
      </c>
      <c r="B909" s="216">
        <v>9565.0</v>
      </c>
      <c r="C909" s="216">
        <v>1691.0</v>
      </c>
      <c r="D909" s="217">
        <v>3.0</v>
      </c>
      <c r="E909" s="219" t="s">
        <v>242</v>
      </c>
      <c r="F909" s="219" t="s">
        <v>357</v>
      </c>
      <c r="G909" s="214" t="s">
        <v>351</v>
      </c>
      <c r="H909" s="221">
        <v>45475.0</v>
      </c>
      <c r="I909" s="219" t="s">
        <v>1430</v>
      </c>
      <c r="J909" s="219" t="s">
        <v>271</v>
      </c>
      <c r="K909" s="219" t="s">
        <v>449</v>
      </c>
      <c r="L909" s="214" t="s">
        <v>482</v>
      </c>
      <c r="M909" s="222">
        <v>2024.0</v>
      </c>
      <c r="N909" s="214" t="s">
        <v>404</v>
      </c>
      <c r="O909" s="223">
        <v>3.0</v>
      </c>
      <c r="P909" s="224">
        <f t="shared" si="1"/>
        <v>0.1767903816</v>
      </c>
      <c r="Q909" s="214" t="str">
        <f t="shared" si="2"/>
        <v>High</v>
      </c>
    </row>
    <row r="910" ht="15.75" customHeight="1">
      <c r="A910" s="214" t="s">
        <v>1429</v>
      </c>
      <c r="B910" s="216">
        <v>8245.0</v>
      </c>
      <c r="C910" s="216">
        <v>324.0</v>
      </c>
      <c r="D910" s="217">
        <v>11.0</v>
      </c>
      <c r="E910" s="219" t="s">
        <v>242</v>
      </c>
      <c r="F910" s="219" t="s">
        <v>357</v>
      </c>
      <c r="G910" s="214" t="s">
        <v>406</v>
      </c>
      <c r="H910" s="221">
        <v>45475.0</v>
      </c>
      <c r="I910" s="219" t="s">
        <v>1430</v>
      </c>
      <c r="J910" s="219" t="s">
        <v>271</v>
      </c>
      <c r="K910" s="219" t="s">
        <v>449</v>
      </c>
      <c r="L910" s="214" t="s">
        <v>482</v>
      </c>
      <c r="M910" s="222">
        <v>2024.0</v>
      </c>
      <c r="N910" s="214" t="s">
        <v>404</v>
      </c>
      <c r="O910" s="223">
        <v>3.0</v>
      </c>
      <c r="P910" s="224">
        <f t="shared" si="1"/>
        <v>0.03929654336</v>
      </c>
      <c r="Q910" s="214" t="str">
        <f t="shared" si="2"/>
        <v>High</v>
      </c>
    </row>
    <row r="911" ht="15.75" customHeight="1">
      <c r="A911" s="214" t="s">
        <v>1431</v>
      </c>
      <c r="B911" s="216">
        <v>1592.0</v>
      </c>
      <c r="C911" s="216">
        <v>480.0</v>
      </c>
      <c r="D911" s="217">
        <v>13.0</v>
      </c>
      <c r="E911" s="219" t="s">
        <v>157</v>
      </c>
      <c r="F911" s="219" t="s">
        <v>360</v>
      </c>
      <c r="G911" s="214" t="s">
        <v>351</v>
      </c>
      <c r="H911" s="221">
        <v>44579.0</v>
      </c>
      <c r="I911" s="219" t="s">
        <v>1432</v>
      </c>
      <c r="J911" s="219" t="s">
        <v>313</v>
      </c>
      <c r="K911" s="219" t="s">
        <v>526</v>
      </c>
      <c r="L911" s="214" t="s">
        <v>453</v>
      </c>
      <c r="M911" s="222">
        <v>2022.0</v>
      </c>
      <c r="N911" s="214" t="s">
        <v>497</v>
      </c>
      <c r="O911" s="223">
        <v>1.0</v>
      </c>
      <c r="P911" s="224">
        <f t="shared" si="1"/>
        <v>0.3015075377</v>
      </c>
      <c r="Q911" s="214" t="str">
        <f t="shared" si="2"/>
        <v>Medium</v>
      </c>
    </row>
    <row r="912" ht="15.75" customHeight="1">
      <c r="A912" s="214" t="s">
        <v>1433</v>
      </c>
      <c r="B912" s="216">
        <v>8400.0</v>
      </c>
      <c r="C912" s="216">
        <v>267.0</v>
      </c>
      <c r="D912" s="217">
        <v>5.0</v>
      </c>
      <c r="E912" s="219" t="s">
        <v>157</v>
      </c>
      <c r="F912" s="219" t="s">
        <v>358</v>
      </c>
      <c r="G912" s="214" t="s">
        <v>351</v>
      </c>
      <c r="H912" s="221">
        <v>45573.0</v>
      </c>
      <c r="I912" s="219" t="s">
        <v>1434</v>
      </c>
      <c r="J912" s="219" t="s">
        <v>313</v>
      </c>
      <c r="K912" s="219" t="s">
        <v>512</v>
      </c>
      <c r="L912" s="214" t="s">
        <v>485</v>
      </c>
      <c r="M912" s="222">
        <v>2024.0</v>
      </c>
      <c r="N912" s="214" t="s">
        <v>414</v>
      </c>
      <c r="O912" s="223">
        <v>4.0</v>
      </c>
      <c r="P912" s="224">
        <f t="shared" si="1"/>
        <v>0.03178571429</v>
      </c>
      <c r="Q912" s="214" t="str">
        <f t="shared" si="2"/>
        <v>High</v>
      </c>
    </row>
    <row r="913" ht="15.75" customHeight="1">
      <c r="A913" s="214" t="s">
        <v>1433</v>
      </c>
      <c r="B913" s="216">
        <v>4963.0</v>
      </c>
      <c r="C913" s="216">
        <v>1254.0</v>
      </c>
      <c r="D913" s="217">
        <v>15.0</v>
      </c>
      <c r="E913" s="219" t="s">
        <v>242</v>
      </c>
      <c r="F913" s="219" t="s">
        <v>357</v>
      </c>
      <c r="G913" s="214" t="s">
        <v>406</v>
      </c>
      <c r="H913" s="221">
        <v>45573.0</v>
      </c>
      <c r="I913" s="219" t="s">
        <v>1434</v>
      </c>
      <c r="J913" s="219" t="s">
        <v>313</v>
      </c>
      <c r="K913" s="219" t="s">
        <v>512</v>
      </c>
      <c r="L913" s="214" t="s">
        <v>485</v>
      </c>
      <c r="M913" s="222">
        <v>2024.0</v>
      </c>
      <c r="N913" s="214" t="s">
        <v>414</v>
      </c>
      <c r="O913" s="223">
        <v>4.0</v>
      </c>
      <c r="P913" s="224">
        <f t="shared" si="1"/>
        <v>0.2526697562</v>
      </c>
      <c r="Q913" s="214" t="str">
        <f t="shared" si="2"/>
        <v>Medium</v>
      </c>
    </row>
    <row r="914" ht="15.75" customHeight="1">
      <c r="A914" s="214" t="s">
        <v>1435</v>
      </c>
      <c r="B914" s="216">
        <v>2472.0</v>
      </c>
      <c r="C914" s="216">
        <v>211.0</v>
      </c>
      <c r="D914" s="217">
        <v>5.0</v>
      </c>
      <c r="E914" s="219" t="s">
        <v>157</v>
      </c>
      <c r="F914" s="219" t="s">
        <v>354</v>
      </c>
      <c r="G914" s="214" t="s">
        <v>405</v>
      </c>
      <c r="H914" s="221">
        <v>44003.0</v>
      </c>
      <c r="I914" s="219" t="s">
        <v>1436</v>
      </c>
      <c r="J914" s="219" t="s">
        <v>117</v>
      </c>
      <c r="K914" s="219" t="s">
        <v>496</v>
      </c>
      <c r="L914" s="214" t="s">
        <v>421</v>
      </c>
      <c r="M914" s="222">
        <v>2020.0</v>
      </c>
      <c r="N914" s="214" t="s">
        <v>396</v>
      </c>
      <c r="O914" s="223">
        <v>2.0</v>
      </c>
      <c r="P914" s="224">
        <f t="shared" si="1"/>
        <v>0.08535598706</v>
      </c>
      <c r="Q914" s="214" t="str">
        <f t="shared" si="2"/>
        <v>Medium</v>
      </c>
    </row>
    <row r="915" ht="15.75" customHeight="1">
      <c r="A915" s="214" t="s">
        <v>1437</v>
      </c>
      <c r="B915" s="216">
        <v>9132.0</v>
      </c>
      <c r="C915" s="216">
        <v>3096.0</v>
      </c>
      <c r="D915" s="217">
        <v>14.0</v>
      </c>
      <c r="E915" s="219" t="s">
        <v>216</v>
      </c>
      <c r="F915" s="219" t="s">
        <v>359</v>
      </c>
      <c r="G915" s="214" t="s">
        <v>351</v>
      </c>
      <c r="H915" s="221">
        <v>45274.0</v>
      </c>
      <c r="I915" s="219" t="s">
        <v>1438</v>
      </c>
      <c r="J915" s="219" t="s">
        <v>159</v>
      </c>
      <c r="K915" s="219" t="s">
        <v>552</v>
      </c>
      <c r="L915" s="214" t="s">
        <v>476</v>
      </c>
      <c r="M915" s="222">
        <v>2023.0</v>
      </c>
      <c r="N915" s="214" t="s">
        <v>400</v>
      </c>
      <c r="O915" s="223">
        <v>4.0</v>
      </c>
      <c r="P915" s="224">
        <f t="shared" si="1"/>
        <v>0.3390275953</v>
      </c>
      <c r="Q915" s="214" t="str">
        <f t="shared" si="2"/>
        <v>High</v>
      </c>
    </row>
    <row r="916" ht="15.75" customHeight="1">
      <c r="A916" s="214" t="s">
        <v>1439</v>
      </c>
      <c r="B916" s="216">
        <v>8305.0</v>
      </c>
      <c r="C916" s="216">
        <v>1577.0</v>
      </c>
      <c r="D916" s="217">
        <v>6.0</v>
      </c>
      <c r="E916" s="219" t="s">
        <v>242</v>
      </c>
      <c r="F916" s="219" t="s">
        <v>362</v>
      </c>
      <c r="G916" s="214" t="s">
        <v>351</v>
      </c>
      <c r="H916" s="221">
        <v>44181.0</v>
      </c>
      <c r="I916" s="219" t="s">
        <v>1440</v>
      </c>
      <c r="J916" s="219" t="s">
        <v>223</v>
      </c>
      <c r="K916" s="219" t="s">
        <v>473</v>
      </c>
      <c r="L916" s="214" t="s">
        <v>437</v>
      </c>
      <c r="M916" s="222">
        <v>2020.0</v>
      </c>
      <c r="N916" s="214" t="s">
        <v>400</v>
      </c>
      <c r="O916" s="223">
        <v>4.0</v>
      </c>
      <c r="P916" s="224">
        <f t="shared" si="1"/>
        <v>0.1898856111</v>
      </c>
      <c r="Q916" s="214" t="str">
        <f t="shared" si="2"/>
        <v>High</v>
      </c>
    </row>
    <row r="917" ht="15.75" customHeight="1">
      <c r="A917" s="214" t="s">
        <v>1441</v>
      </c>
      <c r="B917" s="216">
        <v>1010.0</v>
      </c>
      <c r="C917" s="216">
        <v>58.0</v>
      </c>
      <c r="D917" s="217">
        <v>19.0</v>
      </c>
      <c r="E917" s="219" t="s">
        <v>157</v>
      </c>
      <c r="F917" s="219" t="s">
        <v>355</v>
      </c>
      <c r="G917" s="214" t="s">
        <v>405</v>
      </c>
      <c r="H917" s="221">
        <v>45731.0</v>
      </c>
      <c r="I917" s="219" t="s">
        <v>1442</v>
      </c>
      <c r="J917" s="219" t="s">
        <v>159</v>
      </c>
      <c r="K917" s="219" t="s">
        <v>552</v>
      </c>
      <c r="L917" s="214" t="s">
        <v>489</v>
      </c>
      <c r="M917" s="222">
        <v>2025.0</v>
      </c>
      <c r="N917" s="214" t="s">
        <v>433</v>
      </c>
      <c r="O917" s="223">
        <v>1.0</v>
      </c>
      <c r="P917" s="224">
        <f t="shared" si="1"/>
        <v>0.05742574257</v>
      </c>
      <c r="Q917" s="214" t="str">
        <f t="shared" si="2"/>
        <v>Medium</v>
      </c>
    </row>
    <row r="918" ht="15.75" customHeight="1">
      <c r="A918" s="214" t="s">
        <v>1443</v>
      </c>
      <c r="B918" s="216">
        <v>4544.0</v>
      </c>
      <c r="C918" s="216">
        <v>1726.0</v>
      </c>
      <c r="D918" s="217">
        <v>9.0</v>
      </c>
      <c r="E918" s="219" t="s">
        <v>157</v>
      </c>
      <c r="F918" s="219" t="s">
        <v>358</v>
      </c>
      <c r="G918" s="214" t="s">
        <v>406</v>
      </c>
      <c r="H918" s="221">
        <v>45525.0</v>
      </c>
      <c r="I918" s="219" t="s">
        <v>1444</v>
      </c>
      <c r="J918" s="219" t="s">
        <v>241</v>
      </c>
      <c r="K918" s="219" t="s">
        <v>493</v>
      </c>
      <c r="L918" s="214" t="s">
        <v>483</v>
      </c>
      <c r="M918" s="222">
        <v>2024.0</v>
      </c>
      <c r="N918" s="214" t="s">
        <v>523</v>
      </c>
      <c r="O918" s="223">
        <v>3.0</v>
      </c>
      <c r="P918" s="224">
        <f t="shared" si="1"/>
        <v>0.3798415493</v>
      </c>
      <c r="Q918" s="214" t="str">
        <f t="shared" si="2"/>
        <v>Medium</v>
      </c>
    </row>
    <row r="919" ht="15.75" customHeight="1">
      <c r="A919" s="214" t="s">
        <v>1443</v>
      </c>
      <c r="B919" s="216">
        <v>5900.0</v>
      </c>
      <c r="C919" s="216">
        <v>1738.0</v>
      </c>
      <c r="D919" s="217">
        <v>20.0</v>
      </c>
      <c r="E919" s="219" t="s">
        <v>157</v>
      </c>
      <c r="F919" s="219" t="s">
        <v>358</v>
      </c>
      <c r="G919" s="214" t="s">
        <v>392</v>
      </c>
      <c r="H919" s="221">
        <v>45525.0</v>
      </c>
      <c r="I919" s="219" t="s">
        <v>1444</v>
      </c>
      <c r="J919" s="219" t="s">
        <v>241</v>
      </c>
      <c r="K919" s="219" t="s">
        <v>493</v>
      </c>
      <c r="L919" s="214" t="s">
        <v>483</v>
      </c>
      <c r="M919" s="222">
        <v>2024.0</v>
      </c>
      <c r="N919" s="214" t="s">
        <v>523</v>
      </c>
      <c r="O919" s="223">
        <v>3.0</v>
      </c>
      <c r="P919" s="224">
        <f t="shared" si="1"/>
        <v>0.2945762712</v>
      </c>
      <c r="Q919" s="214" t="str">
        <f t="shared" si="2"/>
        <v>High</v>
      </c>
    </row>
    <row r="920" ht="15.75" customHeight="1">
      <c r="A920" s="214" t="s">
        <v>1445</v>
      </c>
      <c r="B920" s="216">
        <v>8861.0</v>
      </c>
      <c r="C920" s="216">
        <v>3381.0</v>
      </c>
      <c r="D920" s="217">
        <v>19.0</v>
      </c>
      <c r="E920" s="219" t="s">
        <v>242</v>
      </c>
      <c r="F920" s="219" t="s">
        <v>317</v>
      </c>
      <c r="G920" s="214" t="s">
        <v>350</v>
      </c>
      <c r="H920" s="221">
        <v>44343.0</v>
      </c>
      <c r="I920" s="219" t="s">
        <v>1446</v>
      </c>
      <c r="J920" s="219" t="s">
        <v>117</v>
      </c>
      <c r="K920" s="219" t="s">
        <v>496</v>
      </c>
      <c r="L920" s="214" t="s">
        <v>443</v>
      </c>
      <c r="M920" s="222">
        <v>2021.0</v>
      </c>
      <c r="N920" s="214" t="s">
        <v>411</v>
      </c>
      <c r="O920" s="223">
        <v>2.0</v>
      </c>
      <c r="P920" s="224">
        <f t="shared" si="1"/>
        <v>0.3815596434</v>
      </c>
      <c r="Q920" s="214" t="str">
        <f t="shared" si="2"/>
        <v>High</v>
      </c>
    </row>
    <row r="921" ht="15.75" customHeight="1">
      <c r="A921" s="214" t="s">
        <v>1447</v>
      </c>
      <c r="B921" s="216">
        <v>8158.0</v>
      </c>
      <c r="C921" s="216">
        <v>2052.0</v>
      </c>
      <c r="D921" s="217">
        <v>13.0</v>
      </c>
      <c r="E921" s="219" t="s">
        <v>157</v>
      </c>
      <c r="F921" s="219" t="s">
        <v>358</v>
      </c>
      <c r="G921" s="214" t="s">
        <v>351</v>
      </c>
      <c r="H921" s="221">
        <v>44095.0</v>
      </c>
      <c r="I921" s="219" t="s">
        <v>1448</v>
      </c>
      <c r="J921" s="219" t="s">
        <v>313</v>
      </c>
      <c r="K921" s="219" t="s">
        <v>518</v>
      </c>
      <c r="L921" s="214" t="s">
        <v>434</v>
      </c>
      <c r="M921" s="222">
        <v>2020.0</v>
      </c>
      <c r="N921" s="214" t="s">
        <v>536</v>
      </c>
      <c r="O921" s="223">
        <v>3.0</v>
      </c>
      <c r="P921" s="224">
        <f t="shared" si="1"/>
        <v>0.2515322383</v>
      </c>
      <c r="Q921" s="214" t="str">
        <f t="shared" si="2"/>
        <v>High</v>
      </c>
    </row>
    <row r="922" ht="15.75" customHeight="1">
      <c r="A922" s="214" t="s">
        <v>1449</v>
      </c>
      <c r="B922" s="216">
        <v>3411.0</v>
      </c>
      <c r="C922" s="216">
        <v>1704.0</v>
      </c>
      <c r="D922" s="217">
        <v>14.0</v>
      </c>
      <c r="E922" s="219" t="s">
        <v>242</v>
      </c>
      <c r="F922" s="219" t="s">
        <v>356</v>
      </c>
      <c r="G922" s="214" t="s">
        <v>392</v>
      </c>
      <c r="H922" s="221">
        <v>45668.0</v>
      </c>
      <c r="I922" s="219" t="s">
        <v>1450</v>
      </c>
      <c r="J922" s="219" t="s">
        <v>117</v>
      </c>
      <c r="K922" s="219" t="s">
        <v>423</v>
      </c>
      <c r="L922" s="214" t="s">
        <v>487</v>
      </c>
      <c r="M922" s="222">
        <v>2025.0</v>
      </c>
      <c r="N922" s="214" t="s">
        <v>497</v>
      </c>
      <c r="O922" s="223">
        <v>1.0</v>
      </c>
      <c r="P922" s="224">
        <f t="shared" si="1"/>
        <v>0.4995602463</v>
      </c>
      <c r="Q922" s="214" t="str">
        <f t="shared" si="2"/>
        <v>Medium</v>
      </c>
    </row>
    <row r="923" ht="15.75" customHeight="1">
      <c r="A923" s="214" t="s">
        <v>1451</v>
      </c>
      <c r="B923" s="216">
        <v>9406.0</v>
      </c>
      <c r="C923" s="216">
        <v>1137.0</v>
      </c>
      <c r="D923" s="217">
        <v>16.0</v>
      </c>
      <c r="E923" s="219" t="s">
        <v>242</v>
      </c>
      <c r="F923" s="219" t="s">
        <v>317</v>
      </c>
      <c r="G923" s="214" t="s">
        <v>392</v>
      </c>
      <c r="H923" s="221">
        <v>44489.0</v>
      </c>
      <c r="I923" s="219" t="s">
        <v>1452</v>
      </c>
      <c r="J923" s="219" t="s">
        <v>241</v>
      </c>
      <c r="K923" s="219" t="s">
        <v>541</v>
      </c>
      <c r="L923" s="214" t="s">
        <v>413</v>
      </c>
      <c r="M923" s="222">
        <v>2021.0</v>
      </c>
      <c r="N923" s="214" t="s">
        <v>414</v>
      </c>
      <c r="O923" s="223">
        <v>4.0</v>
      </c>
      <c r="P923" s="224">
        <f t="shared" si="1"/>
        <v>0.1208802892</v>
      </c>
      <c r="Q923" s="214" t="str">
        <f t="shared" si="2"/>
        <v>High</v>
      </c>
    </row>
    <row r="924" ht="15.75" customHeight="1">
      <c r="A924" s="214" t="s">
        <v>1451</v>
      </c>
      <c r="B924" s="216">
        <v>1156.0</v>
      </c>
      <c r="C924" s="216">
        <v>74.0</v>
      </c>
      <c r="D924" s="217">
        <v>15.0</v>
      </c>
      <c r="E924" s="219" t="s">
        <v>157</v>
      </c>
      <c r="F924" s="219" t="s">
        <v>354</v>
      </c>
      <c r="G924" s="214" t="s">
        <v>406</v>
      </c>
      <c r="H924" s="221">
        <v>44489.0</v>
      </c>
      <c r="I924" s="219" t="s">
        <v>1452</v>
      </c>
      <c r="J924" s="219" t="s">
        <v>241</v>
      </c>
      <c r="K924" s="219" t="s">
        <v>541</v>
      </c>
      <c r="L924" s="214" t="s">
        <v>413</v>
      </c>
      <c r="M924" s="222">
        <v>2021.0</v>
      </c>
      <c r="N924" s="214" t="s">
        <v>414</v>
      </c>
      <c r="O924" s="223">
        <v>4.0</v>
      </c>
      <c r="P924" s="224">
        <f t="shared" si="1"/>
        <v>0.06401384083</v>
      </c>
      <c r="Q924" s="214" t="str">
        <f t="shared" si="2"/>
        <v>Medium</v>
      </c>
    </row>
    <row r="925" ht="15.75" customHeight="1">
      <c r="A925" s="214" t="s">
        <v>1453</v>
      </c>
      <c r="B925" s="216">
        <v>5354.0</v>
      </c>
      <c r="C925" s="216">
        <v>743.0</v>
      </c>
      <c r="D925" s="217">
        <v>10.0</v>
      </c>
      <c r="E925" s="219" t="s">
        <v>216</v>
      </c>
      <c r="F925" s="219" t="s">
        <v>361</v>
      </c>
      <c r="G925" s="214" t="s">
        <v>392</v>
      </c>
      <c r="H925" s="221">
        <v>44488.0</v>
      </c>
      <c r="I925" s="219" t="s">
        <v>1454</v>
      </c>
      <c r="J925" s="219" t="s">
        <v>271</v>
      </c>
      <c r="K925" s="219" t="s">
        <v>449</v>
      </c>
      <c r="L925" s="214" t="s">
        <v>413</v>
      </c>
      <c r="M925" s="222">
        <v>2021.0</v>
      </c>
      <c r="N925" s="214" t="s">
        <v>414</v>
      </c>
      <c r="O925" s="223">
        <v>4.0</v>
      </c>
      <c r="P925" s="224">
        <f t="shared" si="1"/>
        <v>0.1387747479</v>
      </c>
      <c r="Q925" s="214" t="str">
        <f t="shared" si="2"/>
        <v>High</v>
      </c>
    </row>
    <row r="926" ht="15.75" customHeight="1">
      <c r="A926" s="214" t="s">
        <v>1455</v>
      </c>
      <c r="B926" s="216">
        <v>8780.0</v>
      </c>
      <c r="C926" s="216">
        <v>3430.0</v>
      </c>
      <c r="D926" s="217">
        <v>4.0</v>
      </c>
      <c r="E926" s="219" t="s">
        <v>157</v>
      </c>
      <c r="F926" s="219" t="s">
        <v>355</v>
      </c>
      <c r="G926" s="214" t="s">
        <v>350</v>
      </c>
      <c r="H926" s="221">
        <v>45480.0</v>
      </c>
      <c r="I926" s="219" t="s">
        <v>1456</v>
      </c>
      <c r="J926" s="219" t="s">
        <v>241</v>
      </c>
      <c r="K926" s="219" t="s">
        <v>504</v>
      </c>
      <c r="L926" s="214" t="s">
        <v>482</v>
      </c>
      <c r="M926" s="222">
        <v>2024.0</v>
      </c>
      <c r="N926" s="214" t="s">
        <v>404</v>
      </c>
      <c r="O926" s="223">
        <v>3.0</v>
      </c>
      <c r="P926" s="224">
        <f t="shared" si="1"/>
        <v>0.3906605923</v>
      </c>
      <c r="Q926" s="214" t="str">
        <f t="shared" si="2"/>
        <v>High</v>
      </c>
    </row>
    <row r="927" ht="15.75" customHeight="1">
      <c r="A927" s="214" t="s">
        <v>1455</v>
      </c>
      <c r="B927" s="216">
        <v>8780.0</v>
      </c>
      <c r="C927" s="216">
        <v>3430.0</v>
      </c>
      <c r="D927" s="217">
        <v>4.0</v>
      </c>
      <c r="E927" s="219" t="s">
        <v>157</v>
      </c>
      <c r="F927" s="219" t="s">
        <v>355</v>
      </c>
      <c r="G927" s="214" t="s">
        <v>350</v>
      </c>
      <c r="H927" s="221">
        <v>45132.0</v>
      </c>
      <c r="I927" s="219" t="s">
        <v>1457</v>
      </c>
      <c r="J927" s="219" t="s">
        <v>241</v>
      </c>
      <c r="K927" s="219" t="s">
        <v>504</v>
      </c>
      <c r="L927" s="214" t="s">
        <v>471</v>
      </c>
      <c r="M927" s="222">
        <v>2023.0</v>
      </c>
      <c r="N927" s="214" t="s">
        <v>404</v>
      </c>
      <c r="O927" s="223">
        <v>3.0</v>
      </c>
      <c r="P927" s="224">
        <f t="shared" si="1"/>
        <v>0.3906605923</v>
      </c>
      <c r="Q927" s="214" t="str">
        <f t="shared" si="2"/>
        <v>High</v>
      </c>
    </row>
    <row r="928" ht="15.75" customHeight="1">
      <c r="A928" s="214" t="s">
        <v>1458</v>
      </c>
      <c r="B928" s="216">
        <v>6783.0</v>
      </c>
      <c r="C928" s="216">
        <v>3306.0</v>
      </c>
      <c r="D928" s="217">
        <v>8.0</v>
      </c>
      <c r="E928" s="219" t="s">
        <v>216</v>
      </c>
      <c r="F928" s="219" t="s">
        <v>347</v>
      </c>
      <c r="G928" s="214" t="s">
        <v>351</v>
      </c>
      <c r="H928" s="221">
        <v>43937.0</v>
      </c>
      <c r="I928" s="219" t="s">
        <v>1459</v>
      </c>
      <c r="J928" s="219" t="s">
        <v>313</v>
      </c>
      <c r="K928" s="219" t="s">
        <v>512</v>
      </c>
      <c r="L928" s="214" t="s">
        <v>418</v>
      </c>
      <c r="M928" s="222">
        <v>2020.0</v>
      </c>
      <c r="N928" s="214" t="s">
        <v>542</v>
      </c>
      <c r="O928" s="223">
        <v>2.0</v>
      </c>
      <c r="P928" s="224">
        <f t="shared" si="1"/>
        <v>0.487394958</v>
      </c>
      <c r="Q928" s="214" t="str">
        <f t="shared" si="2"/>
        <v>High</v>
      </c>
    </row>
    <row r="929" ht="15.75" customHeight="1">
      <c r="A929" s="214" t="s">
        <v>1460</v>
      </c>
      <c r="B929" s="216">
        <v>1778.0</v>
      </c>
      <c r="C929" s="216">
        <v>285.0</v>
      </c>
      <c r="D929" s="217">
        <v>4.0</v>
      </c>
      <c r="E929" s="219" t="s">
        <v>242</v>
      </c>
      <c r="F929" s="219" t="s">
        <v>356</v>
      </c>
      <c r="G929" s="214" t="s">
        <v>350</v>
      </c>
      <c r="H929" s="221">
        <v>44016.0</v>
      </c>
      <c r="I929" s="219" t="s">
        <v>1461</v>
      </c>
      <c r="J929" s="219" t="s">
        <v>223</v>
      </c>
      <c r="K929" s="219" t="s">
        <v>428</v>
      </c>
      <c r="L929" s="214" t="s">
        <v>422</v>
      </c>
      <c r="M929" s="222">
        <v>2020.0</v>
      </c>
      <c r="N929" s="214" t="s">
        <v>404</v>
      </c>
      <c r="O929" s="223">
        <v>3.0</v>
      </c>
      <c r="P929" s="224">
        <f t="shared" si="1"/>
        <v>0.1602924634</v>
      </c>
      <c r="Q929" s="214" t="str">
        <f t="shared" si="2"/>
        <v>Medium</v>
      </c>
    </row>
    <row r="930" ht="15.75" customHeight="1">
      <c r="A930" s="214" t="s">
        <v>1462</v>
      </c>
      <c r="B930" s="216">
        <v>9399.0</v>
      </c>
      <c r="C930" s="216">
        <v>1949.0</v>
      </c>
      <c r="D930" s="217">
        <v>12.0</v>
      </c>
      <c r="E930" s="219" t="s">
        <v>157</v>
      </c>
      <c r="F930" s="219" t="s">
        <v>354</v>
      </c>
      <c r="G930" s="214" t="s">
        <v>392</v>
      </c>
      <c r="H930" s="221">
        <v>44697.0</v>
      </c>
      <c r="I930" s="219" t="s">
        <v>1463</v>
      </c>
      <c r="J930" s="219" t="s">
        <v>223</v>
      </c>
      <c r="K930" s="219" t="s">
        <v>473</v>
      </c>
      <c r="L930" s="214" t="s">
        <v>457</v>
      </c>
      <c r="M930" s="222">
        <v>2022.0</v>
      </c>
      <c r="N930" s="214" t="s">
        <v>411</v>
      </c>
      <c r="O930" s="223">
        <v>2.0</v>
      </c>
      <c r="P930" s="224">
        <f t="shared" si="1"/>
        <v>0.2073624854</v>
      </c>
      <c r="Q930" s="214" t="str">
        <f t="shared" si="2"/>
        <v>High</v>
      </c>
    </row>
    <row r="931" ht="15.75" customHeight="1">
      <c r="A931" s="214" t="s">
        <v>1462</v>
      </c>
      <c r="B931" s="216">
        <v>7957.0</v>
      </c>
      <c r="C931" s="216">
        <v>965.0</v>
      </c>
      <c r="D931" s="217">
        <v>4.0</v>
      </c>
      <c r="E931" s="219" t="s">
        <v>216</v>
      </c>
      <c r="F931" s="219" t="s">
        <v>347</v>
      </c>
      <c r="G931" s="214" t="s">
        <v>350</v>
      </c>
      <c r="H931" s="221">
        <v>44697.0</v>
      </c>
      <c r="I931" s="219" t="s">
        <v>1463</v>
      </c>
      <c r="J931" s="219" t="s">
        <v>223</v>
      </c>
      <c r="K931" s="219" t="s">
        <v>473</v>
      </c>
      <c r="L931" s="214" t="s">
        <v>457</v>
      </c>
      <c r="M931" s="222">
        <v>2022.0</v>
      </c>
      <c r="N931" s="214" t="s">
        <v>411</v>
      </c>
      <c r="O931" s="223">
        <v>2.0</v>
      </c>
      <c r="P931" s="224">
        <f t="shared" si="1"/>
        <v>0.1212768631</v>
      </c>
      <c r="Q931" s="214" t="str">
        <f t="shared" si="2"/>
        <v>High</v>
      </c>
    </row>
    <row r="932" ht="15.75" customHeight="1">
      <c r="A932" s="214" t="s">
        <v>1464</v>
      </c>
      <c r="B932" s="216">
        <v>1638.0</v>
      </c>
      <c r="C932" s="216">
        <v>661.0</v>
      </c>
      <c r="D932" s="217">
        <v>13.0</v>
      </c>
      <c r="E932" s="219" t="s">
        <v>216</v>
      </c>
      <c r="F932" s="219" t="s">
        <v>359</v>
      </c>
      <c r="G932" s="214" t="s">
        <v>406</v>
      </c>
      <c r="H932" s="221">
        <v>45255.0</v>
      </c>
      <c r="I932" s="219" t="s">
        <v>1465</v>
      </c>
      <c r="J932" s="219" t="s">
        <v>271</v>
      </c>
      <c r="K932" s="219" t="s">
        <v>449</v>
      </c>
      <c r="L932" s="214" t="s">
        <v>429</v>
      </c>
      <c r="M932" s="222">
        <v>2023.0</v>
      </c>
      <c r="N932" s="214" t="s">
        <v>425</v>
      </c>
      <c r="O932" s="223">
        <v>4.0</v>
      </c>
      <c r="P932" s="224">
        <f t="shared" si="1"/>
        <v>0.4035409035</v>
      </c>
      <c r="Q932" s="214" t="str">
        <f t="shared" si="2"/>
        <v>Medium</v>
      </c>
    </row>
    <row r="933" ht="15.75" customHeight="1">
      <c r="A933" s="214" t="s">
        <v>1466</v>
      </c>
      <c r="B933" s="216">
        <v>1786.0</v>
      </c>
      <c r="C933" s="216">
        <v>224.0</v>
      </c>
      <c r="D933" s="217">
        <v>4.0</v>
      </c>
      <c r="E933" s="219" t="s">
        <v>216</v>
      </c>
      <c r="F933" s="219" t="s">
        <v>344</v>
      </c>
      <c r="G933" s="214" t="s">
        <v>405</v>
      </c>
      <c r="H933" s="221">
        <v>44425.0</v>
      </c>
      <c r="I933" s="219" t="s">
        <v>1467</v>
      </c>
      <c r="J933" s="219" t="s">
        <v>241</v>
      </c>
      <c r="K933" s="219" t="s">
        <v>493</v>
      </c>
      <c r="L933" s="214" t="s">
        <v>445</v>
      </c>
      <c r="M933" s="222">
        <v>2021.0</v>
      </c>
      <c r="N933" s="214" t="s">
        <v>523</v>
      </c>
      <c r="O933" s="223">
        <v>3.0</v>
      </c>
      <c r="P933" s="224">
        <f t="shared" si="1"/>
        <v>0.1254199328</v>
      </c>
      <c r="Q933" s="214" t="str">
        <f t="shared" si="2"/>
        <v>Medium</v>
      </c>
    </row>
    <row r="934" ht="15.75" customHeight="1">
      <c r="A934" s="214" t="s">
        <v>1468</v>
      </c>
      <c r="B934" s="216">
        <v>4751.0</v>
      </c>
      <c r="C934" s="216">
        <v>781.0</v>
      </c>
      <c r="D934" s="217">
        <v>9.0</v>
      </c>
      <c r="E934" s="219" t="s">
        <v>242</v>
      </c>
      <c r="F934" s="219" t="s">
        <v>357</v>
      </c>
      <c r="G934" s="214" t="s">
        <v>406</v>
      </c>
      <c r="H934" s="221">
        <v>45109.0</v>
      </c>
      <c r="I934" s="219" t="s">
        <v>1469</v>
      </c>
      <c r="J934" s="219" t="s">
        <v>223</v>
      </c>
      <c r="K934" s="219" t="s">
        <v>402</v>
      </c>
      <c r="L934" s="214" t="s">
        <v>471</v>
      </c>
      <c r="M934" s="222">
        <v>2023.0</v>
      </c>
      <c r="N934" s="214" t="s">
        <v>404</v>
      </c>
      <c r="O934" s="223">
        <v>3.0</v>
      </c>
      <c r="P934" s="224">
        <f t="shared" si="1"/>
        <v>0.164386445</v>
      </c>
      <c r="Q934" s="214" t="str">
        <f t="shared" si="2"/>
        <v>Medium</v>
      </c>
    </row>
    <row r="935" ht="15.75" customHeight="1">
      <c r="A935" s="214" t="s">
        <v>1470</v>
      </c>
      <c r="B935" s="216">
        <v>8979.0</v>
      </c>
      <c r="C935" s="216">
        <v>4477.0</v>
      </c>
      <c r="D935" s="217">
        <v>4.0</v>
      </c>
      <c r="E935" s="219" t="s">
        <v>242</v>
      </c>
      <c r="F935" s="219" t="s">
        <v>357</v>
      </c>
      <c r="G935" s="214" t="s">
        <v>350</v>
      </c>
      <c r="H935" s="221">
        <v>44067.0</v>
      </c>
      <c r="I935" s="219" t="s">
        <v>1471</v>
      </c>
      <c r="J935" s="219" t="s">
        <v>271</v>
      </c>
      <c r="K935" s="219" t="s">
        <v>398</v>
      </c>
      <c r="L935" s="214" t="s">
        <v>431</v>
      </c>
      <c r="M935" s="222">
        <v>2020.0</v>
      </c>
      <c r="N935" s="214" t="s">
        <v>523</v>
      </c>
      <c r="O935" s="223">
        <v>3.0</v>
      </c>
      <c r="P935" s="224">
        <f t="shared" si="1"/>
        <v>0.4986078628</v>
      </c>
      <c r="Q935" s="214" t="str">
        <f t="shared" si="2"/>
        <v>High</v>
      </c>
    </row>
    <row r="936" ht="15.75" customHeight="1">
      <c r="A936" s="214" t="s">
        <v>1472</v>
      </c>
      <c r="B936" s="216">
        <v>2727.0</v>
      </c>
      <c r="C936" s="216">
        <v>663.0</v>
      </c>
      <c r="D936" s="217">
        <v>8.0</v>
      </c>
      <c r="E936" s="219" t="s">
        <v>157</v>
      </c>
      <c r="F936" s="219" t="s">
        <v>358</v>
      </c>
      <c r="G936" s="214" t="s">
        <v>350</v>
      </c>
      <c r="H936" s="221">
        <v>44872.0</v>
      </c>
      <c r="I936" s="219" t="s">
        <v>1473</v>
      </c>
      <c r="J936" s="219" t="s">
        <v>159</v>
      </c>
      <c r="K936" s="219" t="s">
        <v>394</v>
      </c>
      <c r="L936" s="214" t="s">
        <v>424</v>
      </c>
      <c r="M936" s="222">
        <v>2022.0</v>
      </c>
      <c r="N936" s="214" t="s">
        <v>425</v>
      </c>
      <c r="O936" s="223">
        <v>4.0</v>
      </c>
      <c r="P936" s="224">
        <f t="shared" si="1"/>
        <v>0.2431243124</v>
      </c>
      <c r="Q936" s="214" t="str">
        <f t="shared" si="2"/>
        <v>Medium</v>
      </c>
    </row>
    <row r="937" ht="15.75" customHeight="1">
      <c r="A937" s="214" t="s">
        <v>1474</v>
      </c>
      <c r="B937" s="216">
        <v>1093.0</v>
      </c>
      <c r="C937" s="216">
        <v>397.0</v>
      </c>
      <c r="D937" s="217">
        <v>17.0</v>
      </c>
      <c r="E937" s="219" t="s">
        <v>157</v>
      </c>
      <c r="F937" s="219" t="s">
        <v>354</v>
      </c>
      <c r="G937" s="214" t="s">
        <v>350</v>
      </c>
      <c r="H937" s="221">
        <v>45378.0</v>
      </c>
      <c r="I937" s="219" t="s">
        <v>1475</v>
      </c>
      <c r="J937" s="219" t="s">
        <v>271</v>
      </c>
      <c r="K937" s="219" t="s">
        <v>568</v>
      </c>
      <c r="L937" s="214" t="s">
        <v>479</v>
      </c>
      <c r="M937" s="222">
        <v>2024.0</v>
      </c>
      <c r="N937" s="214" t="s">
        <v>433</v>
      </c>
      <c r="O937" s="223">
        <v>1.0</v>
      </c>
      <c r="P937" s="224">
        <f t="shared" si="1"/>
        <v>0.3632204941</v>
      </c>
      <c r="Q937" s="214" t="str">
        <f t="shared" si="2"/>
        <v>Medium</v>
      </c>
    </row>
    <row r="938" ht="15.75" customHeight="1">
      <c r="A938" s="214" t="s">
        <v>1474</v>
      </c>
      <c r="B938" s="216">
        <v>1093.0</v>
      </c>
      <c r="C938" s="216">
        <v>397.0</v>
      </c>
      <c r="D938" s="217">
        <v>17.0</v>
      </c>
      <c r="E938" s="219" t="s">
        <v>157</v>
      </c>
      <c r="F938" s="219" t="s">
        <v>354</v>
      </c>
      <c r="G938" s="214" t="s">
        <v>350</v>
      </c>
      <c r="H938" s="221">
        <v>45536.0</v>
      </c>
      <c r="I938" s="219" t="s">
        <v>1476</v>
      </c>
      <c r="J938" s="219" t="s">
        <v>223</v>
      </c>
      <c r="K938" s="219" t="s">
        <v>402</v>
      </c>
      <c r="L938" s="214" t="s">
        <v>484</v>
      </c>
      <c r="M938" s="222">
        <v>2024.0</v>
      </c>
      <c r="N938" s="214" t="s">
        <v>536</v>
      </c>
      <c r="O938" s="223">
        <v>3.0</v>
      </c>
      <c r="P938" s="224">
        <f t="shared" si="1"/>
        <v>0.3632204941</v>
      </c>
      <c r="Q938" s="214" t="str">
        <f t="shared" si="2"/>
        <v>Medium</v>
      </c>
    </row>
    <row r="939" ht="15.75" customHeight="1">
      <c r="A939" s="214" t="s">
        <v>1474</v>
      </c>
      <c r="B939" s="216">
        <v>1093.0</v>
      </c>
      <c r="C939" s="216">
        <v>397.0</v>
      </c>
      <c r="D939" s="217">
        <v>17.0</v>
      </c>
      <c r="E939" s="219" t="s">
        <v>157</v>
      </c>
      <c r="F939" s="219" t="s">
        <v>354</v>
      </c>
      <c r="G939" s="214" t="s">
        <v>350</v>
      </c>
      <c r="H939" s="221">
        <v>44614.0</v>
      </c>
      <c r="I939" s="219" t="s">
        <v>1477</v>
      </c>
      <c r="J939" s="219" t="s">
        <v>313</v>
      </c>
      <c r="K939" s="219" t="s">
        <v>512</v>
      </c>
      <c r="L939" s="214" t="s">
        <v>454</v>
      </c>
      <c r="M939" s="222">
        <v>2022.0</v>
      </c>
      <c r="N939" s="214" t="s">
        <v>494</v>
      </c>
      <c r="O939" s="223">
        <v>1.0</v>
      </c>
      <c r="P939" s="224">
        <f t="shared" si="1"/>
        <v>0.3632204941</v>
      </c>
      <c r="Q939" s="214" t="str">
        <f t="shared" si="2"/>
        <v>Medium</v>
      </c>
    </row>
    <row r="940" ht="15.75" customHeight="1">
      <c r="A940" s="214" t="s">
        <v>1474</v>
      </c>
      <c r="B940" s="216">
        <v>2636.0</v>
      </c>
      <c r="C940" s="216">
        <v>88.0</v>
      </c>
      <c r="D940" s="217">
        <v>11.0</v>
      </c>
      <c r="E940" s="219" t="s">
        <v>242</v>
      </c>
      <c r="F940" s="219" t="s">
        <v>357</v>
      </c>
      <c r="G940" s="214" t="s">
        <v>351</v>
      </c>
      <c r="H940" s="221">
        <v>45378.0</v>
      </c>
      <c r="I940" s="219" t="s">
        <v>1475</v>
      </c>
      <c r="J940" s="219" t="s">
        <v>271</v>
      </c>
      <c r="K940" s="219" t="s">
        <v>568</v>
      </c>
      <c r="L940" s="214" t="s">
        <v>479</v>
      </c>
      <c r="M940" s="222">
        <v>2024.0</v>
      </c>
      <c r="N940" s="214" t="s">
        <v>433</v>
      </c>
      <c r="O940" s="223">
        <v>1.0</v>
      </c>
      <c r="P940" s="224">
        <f t="shared" si="1"/>
        <v>0.03338391502</v>
      </c>
      <c r="Q940" s="214" t="str">
        <f t="shared" si="2"/>
        <v>Medium</v>
      </c>
    </row>
    <row r="941" ht="15.75" customHeight="1">
      <c r="A941" s="214" t="s">
        <v>1474</v>
      </c>
      <c r="B941" s="216">
        <v>2636.0</v>
      </c>
      <c r="C941" s="216">
        <v>88.0</v>
      </c>
      <c r="D941" s="217">
        <v>11.0</v>
      </c>
      <c r="E941" s="219" t="s">
        <v>242</v>
      </c>
      <c r="F941" s="219" t="s">
        <v>357</v>
      </c>
      <c r="G941" s="214" t="s">
        <v>351</v>
      </c>
      <c r="H941" s="221">
        <v>45536.0</v>
      </c>
      <c r="I941" s="219" t="s">
        <v>1476</v>
      </c>
      <c r="J941" s="219" t="s">
        <v>223</v>
      </c>
      <c r="K941" s="219" t="s">
        <v>402</v>
      </c>
      <c r="L941" s="214" t="s">
        <v>484</v>
      </c>
      <c r="M941" s="222">
        <v>2024.0</v>
      </c>
      <c r="N941" s="214" t="s">
        <v>536</v>
      </c>
      <c r="O941" s="223">
        <v>3.0</v>
      </c>
      <c r="P941" s="224">
        <f t="shared" si="1"/>
        <v>0.03338391502</v>
      </c>
      <c r="Q941" s="214" t="str">
        <f t="shared" si="2"/>
        <v>Medium</v>
      </c>
    </row>
    <row r="942" ht="15.75" customHeight="1">
      <c r="A942" s="214" t="s">
        <v>1474</v>
      </c>
      <c r="B942" s="216">
        <v>2636.0</v>
      </c>
      <c r="C942" s="216">
        <v>88.0</v>
      </c>
      <c r="D942" s="217">
        <v>11.0</v>
      </c>
      <c r="E942" s="219" t="s">
        <v>242</v>
      </c>
      <c r="F942" s="219" t="s">
        <v>357</v>
      </c>
      <c r="G942" s="214" t="s">
        <v>351</v>
      </c>
      <c r="H942" s="221">
        <v>44614.0</v>
      </c>
      <c r="I942" s="219" t="s">
        <v>1477</v>
      </c>
      <c r="J942" s="219" t="s">
        <v>313</v>
      </c>
      <c r="K942" s="219" t="s">
        <v>512</v>
      </c>
      <c r="L942" s="214" t="s">
        <v>454</v>
      </c>
      <c r="M942" s="222">
        <v>2022.0</v>
      </c>
      <c r="N942" s="214" t="s">
        <v>494</v>
      </c>
      <c r="O942" s="223">
        <v>1.0</v>
      </c>
      <c r="P942" s="224">
        <f t="shared" si="1"/>
        <v>0.03338391502</v>
      </c>
      <c r="Q942" s="214" t="str">
        <f t="shared" si="2"/>
        <v>Medium</v>
      </c>
    </row>
    <row r="943" ht="15.75" customHeight="1">
      <c r="A943" s="214" t="s">
        <v>1478</v>
      </c>
      <c r="B943" s="216">
        <v>7344.0</v>
      </c>
      <c r="C943" s="216">
        <v>2251.0</v>
      </c>
      <c r="D943" s="217">
        <v>7.0</v>
      </c>
      <c r="E943" s="219" t="s">
        <v>157</v>
      </c>
      <c r="F943" s="219" t="s">
        <v>355</v>
      </c>
      <c r="G943" s="214" t="s">
        <v>351</v>
      </c>
      <c r="H943" s="221">
        <v>44603.0</v>
      </c>
      <c r="I943" s="219" t="s">
        <v>1479</v>
      </c>
      <c r="J943" s="219" t="s">
        <v>159</v>
      </c>
      <c r="K943" s="219" t="s">
        <v>394</v>
      </c>
      <c r="L943" s="214" t="s">
        <v>454</v>
      </c>
      <c r="M943" s="222">
        <v>2022.0</v>
      </c>
      <c r="N943" s="214" t="s">
        <v>494</v>
      </c>
      <c r="O943" s="223">
        <v>1.0</v>
      </c>
      <c r="P943" s="224">
        <f t="shared" si="1"/>
        <v>0.3065087146</v>
      </c>
      <c r="Q943" s="214" t="str">
        <f t="shared" si="2"/>
        <v>High</v>
      </c>
    </row>
    <row r="944" ht="15.75" customHeight="1">
      <c r="A944" s="214" t="s">
        <v>1478</v>
      </c>
      <c r="B944" s="216">
        <v>7306.0</v>
      </c>
      <c r="C944" s="216">
        <v>1547.0</v>
      </c>
      <c r="D944" s="217">
        <v>3.0</v>
      </c>
      <c r="E944" s="219" t="s">
        <v>242</v>
      </c>
      <c r="F944" s="219" t="s">
        <v>357</v>
      </c>
      <c r="G944" s="214" t="s">
        <v>405</v>
      </c>
      <c r="H944" s="221">
        <v>44603.0</v>
      </c>
      <c r="I944" s="219" t="s">
        <v>1479</v>
      </c>
      <c r="J944" s="219" t="s">
        <v>159</v>
      </c>
      <c r="K944" s="219" t="s">
        <v>394</v>
      </c>
      <c r="L944" s="214" t="s">
        <v>454</v>
      </c>
      <c r="M944" s="222">
        <v>2022.0</v>
      </c>
      <c r="N944" s="214" t="s">
        <v>494</v>
      </c>
      <c r="O944" s="223">
        <v>1.0</v>
      </c>
      <c r="P944" s="224">
        <f t="shared" si="1"/>
        <v>0.2117437722</v>
      </c>
      <c r="Q944" s="214" t="str">
        <f t="shared" si="2"/>
        <v>High</v>
      </c>
    </row>
    <row r="945" ht="15.75" customHeight="1">
      <c r="A945" s="214" t="s">
        <v>1478</v>
      </c>
      <c r="B945" s="216">
        <v>5832.0</v>
      </c>
      <c r="C945" s="216">
        <v>2588.0</v>
      </c>
      <c r="D945" s="217">
        <v>10.0</v>
      </c>
      <c r="E945" s="219" t="s">
        <v>157</v>
      </c>
      <c r="F945" s="219" t="s">
        <v>354</v>
      </c>
      <c r="G945" s="214" t="s">
        <v>405</v>
      </c>
      <c r="H945" s="221">
        <v>44603.0</v>
      </c>
      <c r="I945" s="219" t="s">
        <v>1479</v>
      </c>
      <c r="J945" s="219" t="s">
        <v>159</v>
      </c>
      <c r="K945" s="219" t="s">
        <v>394</v>
      </c>
      <c r="L945" s="214" t="s">
        <v>454</v>
      </c>
      <c r="M945" s="222">
        <v>2022.0</v>
      </c>
      <c r="N945" s="214" t="s">
        <v>494</v>
      </c>
      <c r="O945" s="223">
        <v>1.0</v>
      </c>
      <c r="P945" s="224">
        <f t="shared" si="1"/>
        <v>0.4437585734</v>
      </c>
      <c r="Q945" s="214" t="str">
        <f t="shared" si="2"/>
        <v>High</v>
      </c>
    </row>
    <row r="946" ht="15.75" customHeight="1">
      <c r="A946" s="214" t="s">
        <v>1480</v>
      </c>
      <c r="B946" s="216">
        <v>8572.0</v>
      </c>
      <c r="C946" s="216">
        <v>2041.0</v>
      </c>
      <c r="D946" s="217">
        <v>8.0</v>
      </c>
      <c r="E946" s="219" t="s">
        <v>216</v>
      </c>
      <c r="F946" s="219" t="s">
        <v>344</v>
      </c>
      <c r="G946" s="214" t="s">
        <v>406</v>
      </c>
      <c r="H946" s="221">
        <v>44343.0</v>
      </c>
      <c r="I946" s="219" t="s">
        <v>1481</v>
      </c>
      <c r="J946" s="219" t="s">
        <v>271</v>
      </c>
      <c r="K946" s="219" t="s">
        <v>449</v>
      </c>
      <c r="L946" s="214" t="s">
        <v>443</v>
      </c>
      <c r="M946" s="222">
        <v>2021.0</v>
      </c>
      <c r="N946" s="214" t="s">
        <v>411</v>
      </c>
      <c r="O946" s="223">
        <v>2.0</v>
      </c>
      <c r="P946" s="224">
        <f t="shared" si="1"/>
        <v>0.2381007933</v>
      </c>
      <c r="Q946" s="214" t="str">
        <f t="shared" si="2"/>
        <v>High</v>
      </c>
    </row>
    <row r="947" ht="15.75" customHeight="1">
      <c r="A947" s="214" t="s">
        <v>1480</v>
      </c>
      <c r="B947" s="216">
        <v>8572.0</v>
      </c>
      <c r="C947" s="216">
        <v>2041.0</v>
      </c>
      <c r="D947" s="217">
        <v>8.0</v>
      </c>
      <c r="E947" s="219" t="s">
        <v>216</v>
      </c>
      <c r="F947" s="219" t="s">
        <v>344</v>
      </c>
      <c r="G947" s="214" t="s">
        <v>406</v>
      </c>
      <c r="H947" s="221">
        <v>45112.0</v>
      </c>
      <c r="I947" s="219" t="s">
        <v>1482</v>
      </c>
      <c r="J947" s="219" t="s">
        <v>271</v>
      </c>
      <c r="K947" s="219" t="s">
        <v>449</v>
      </c>
      <c r="L947" s="214" t="s">
        <v>471</v>
      </c>
      <c r="M947" s="222">
        <v>2023.0</v>
      </c>
      <c r="N947" s="214" t="s">
        <v>404</v>
      </c>
      <c r="O947" s="223">
        <v>3.0</v>
      </c>
      <c r="P947" s="224">
        <f t="shared" si="1"/>
        <v>0.2381007933</v>
      </c>
      <c r="Q947" s="214" t="str">
        <f t="shared" si="2"/>
        <v>High</v>
      </c>
    </row>
    <row r="948" ht="15.75" customHeight="1">
      <c r="A948" s="214" t="s">
        <v>1480</v>
      </c>
      <c r="B948" s="216">
        <v>8572.0</v>
      </c>
      <c r="C948" s="216">
        <v>2041.0</v>
      </c>
      <c r="D948" s="217">
        <v>8.0</v>
      </c>
      <c r="E948" s="219" t="s">
        <v>216</v>
      </c>
      <c r="F948" s="219" t="s">
        <v>344</v>
      </c>
      <c r="G948" s="214" t="s">
        <v>406</v>
      </c>
      <c r="H948" s="221">
        <v>44131.0</v>
      </c>
      <c r="I948" s="219" t="s">
        <v>1483</v>
      </c>
      <c r="J948" s="219" t="s">
        <v>117</v>
      </c>
      <c r="K948" s="219" t="s">
        <v>496</v>
      </c>
      <c r="L948" s="214" t="s">
        <v>435</v>
      </c>
      <c r="M948" s="222">
        <v>2020.0</v>
      </c>
      <c r="N948" s="214" t="s">
        <v>414</v>
      </c>
      <c r="O948" s="223">
        <v>4.0</v>
      </c>
      <c r="P948" s="224">
        <f t="shared" si="1"/>
        <v>0.2381007933</v>
      </c>
      <c r="Q948" s="214" t="str">
        <f t="shared" si="2"/>
        <v>High</v>
      </c>
    </row>
    <row r="949" ht="15.75" customHeight="1">
      <c r="A949" s="214" t="s">
        <v>1480</v>
      </c>
      <c r="B949" s="216">
        <v>8059.0</v>
      </c>
      <c r="C949" s="216">
        <v>1834.0</v>
      </c>
      <c r="D949" s="217">
        <v>10.0</v>
      </c>
      <c r="E949" s="219" t="s">
        <v>157</v>
      </c>
      <c r="F949" s="219" t="s">
        <v>354</v>
      </c>
      <c r="G949" s="214" t="s">
        <v>350</v>
      </c>
      <c r="H949" s="221">
        <v>44343.0</v>
      </c>
      <c r="I949" s="219" t="s">
        <v>1481</v>
      </c>
      <c r="J949" s="219" t="s">
        <v>271</v>
      </c>
      <c r="K949" s="219" t="s">
        <v>449</v>
      </c>
      <c r="L949" s="214" t="s">
        <v>443</v>
      </c>
      <c r="M949" s="222">
        <v>2021.0</v>
      </c>
      <c r="N949" s="214" t="s">
        <v>411</v>
      </c>
      <c r="O949" s="223">
        <v>2.0</v>
      </c>
      <c r="P949" s="224">
        <f t="shared" si="1"/>
        <v>0.227571659</v>
      </c>
      <c r="Q949" s="214" t="str">
        <f t="shared" si="2"/>
        <v>High</v>
      </c>
    </row>
    <row r="950" ht="15.75" customHeight="1">
      <c r="A950" s="214" t="s">
        <v>1480</v>
      </c>
      <c r="B950" s="216">
        <v>8059.0</v>
      </c>
      <c r="C950" s="216">
        <v>1834.0</v>
      </c>
      <c r="D950" s="217">
        <v>10.0</v>
      </c>
      <c r="E950" s="219" t="s">
        <v>157</v>
      </c>
      <c r="F950" s="219" t="s">
        <v>354</v>
      </c>
      <c r="G950" s="214" t="s">
        <v>350</v>
      </c>
      <c r="H950" s="221">
        <v>45112.0</v>
      </c>
      <c r="I950" s="219" t="s">
        <v>1482</v>
      </c>
      <c r="J950" s="219" t="s">
        <v>271</v>
      </c>
      <c r="K950" s="219" t="s">
        <v>449</v>
      </c>
      <c r="L950" s="214" t="s">
        <v>471</v>
      </c>
      <c r="M950" s="222">
        <v>2023.0</v>
      </c>
      <c r="N950" s="214" t="s">
        <v>404</v>
      </c>
      <c r="O950" s="223">
        <v>3.0</v>
      </c>
      <c r="P950" s="224">
        <f t="shared" si="1"/>
        <v>0.227571659</v>
      </c>
      <c r="Q950" s="214" t="str">
        <f t="shared" si="2"/>
        <v>High</v>
      </c>
    </row>
    <row r="951" ht="15.75" customHeight="1">
      <c r="A951" s="214" t="s">
        <v>1480</v>
      </c>
      <c r="B951" s="216">
        <v>8059.0</v>
      </c>
      <c r="C951" s="216">
        <v>1834.0</v>
      </c>
      <c r="D951" s="217">
        <v>10.0</v>
      </c>
      <c r="E951" s="219" t="s">
        <v>157</v>
      </c>
      <c r="F951" s="219" t="s">
        <v>354</v>
      </c>
      <c r="G951" s="214" t="s">
        <v>350</v>
      </c>
      <c r="H951" s="221">
        <v>44131.0</v>
      </c>
      <c r="I951" s="219" t="s">
        <v>1483</v>
      </c>
      <c r="J951" s="219" t="s">
        <v>117</v>
      </c>
      <c r="K951" s="219" t="s">
        <v>496</v>
      </c>
      <c r="L951" s="214" t="s">
        <v>435</v>
      </c>
      <c r="M951" s="222">
        <v>2020.0</v>
      </c>
      <c r="N951" s="214" t="s">
        <v>414</v>
      </c>
      <c r="O951" s="223">
        <v>4.0</v>
      </c>
      <c r="P951" s="224">
        <f t="shared" si="1"/>
        <v>0.227571659</v>
      </c>
      <c r="Q951" s="214" t="str">
        <f t="shared" si="2"/>
        <v>High</v>
      </c>
    </row>
    <row r="952" ht="15.75" customHeight="1">
      <c r="A952" s="214" t="s">
        <v>1484</v>
      </c>
      <c r="B952" s="216">
        <v>3661.0</v>
      </c>
      <c r="C952" s="216">
        <v>436.0</v>
      </c>
      <c r="D952" s="217">
        <v>13.0</v>
      </c>
      <c r="E952" s="219" t="s">
        <v>216</v>
      </c>
      <c r="F952" s="219" t="s">
        <v>347</v>
      </c>
      <c r="G952" s="214" t="s">
        <v>406</v>
      </c>
      <c r="H952" s="221">
        <v>44952.0</v>
      </c>
      <c r="I952" s="219" t="s">
        <v>1485</v>
      </c>
      <c r="J952" s="219" t="s">
        <v>241</v>
      </c>
      <c r="K952" s="219" t="s">
        <v>504</v>
      </c>
      <c r="L952" s="214" t="s">
        <v>465</v>
      </c>
      <c r="M952" s="222">
        <v>2023.0</v>
      </c>
      <c r="N952" s="214" t="s">
        <v>497</v>
      </c>
      <c r="O952" s="223">
        <v>1.0</v>
      </c>
      <c r="P952" s="224">
        <f t="shared" si="1"/>
        <v>0.1190931439</v>
      </c>
      <c r="Q952" s="214" t="str">
        <f t="shared" si="2"/>
        <v>Medium</v>
      </c>
    </row>
    <row r="953" ht="15.75" customHeight="1">
      <c r="A953" s="214" t="s">
        <v>1486</v>
      </c>
      <c r="B953" s="216">
        <v>2451.0</v>
      </c>
      <c r="C953" s="216">
        <v>342.0</v>
      </c>
      <c r="D953" s="217">
        <v>8.0</v>
      </c>
      <c r="E953" s="219" t="s">
        <v>242</v>
      </c>
      <c r="F953" s="219" t="s">
        <v>357</v>
      </c>
      <c r="G953" s="214" t="s">
        <v>406</v>
      </c>
      <c r="H953" s="221">
        <v>44445.0</v>
      </c>
      <c r="I953" s="219" t="s">
        <v>1487</v>
      </c>
      <c r="J953" s="219" t="s">
        <v>117</v>
      </c>
      <c r="K953" s="219" t="s">
        <v>423</v>
      </c>
      <c r="L953" s="214" t="s">
        <v>450</v>
      </c>
      <c r="M953" s="222">
        <v>2021.0</v>
      </c>
      <c r="N953" s="214" t="s">
        <v>536</v>
      </c>
      <c r="O953" s="223">
        <v>3.0</v>
      </c>
      <c r="P953" s="224">
        <f t="shared" si="1"/>
        <v>0.1395348837</v>
      </c>
      <c r="Q953" s="214" t="str">
        <f t="shared" si="2"/>
        <v>Medium</v>
      </c>
    </row>
    <row r="954" ht="15.75" customHeight="1">
      <c r="A954" s="214" t="s">
        <v>1486</v>
      </c>
      <c r="B954" s="216">
        <v>2451.0</v>
      </c>
      <c r="C954" s="216">
        <v>342.0</v>
      </c>
      <c r="D954" s="217">
        <v>8.0</v>
      </c>
      <c r="E954" s="219" t="s">
        <v>242</v>
      </c>
      <c r="F954" s="219" t="s">
        <v>357</v>
      </c>
      <c r="G954" s="214" t="s">
        <v>406</v>
      </c>
      <c r="H954" s="221">
        <v>44512.0</v>
      </c>
      <c r="I954" s="219" t="s">
        <v>1488</v>
      </c>
      <c r="J954" s="219" t="s">
        <v>313</v>
      </c>
      <c r="K954" s="219" t="s">
        <v>518</v>
      </c>
      <c r="L954" s="214" t="s">
        <v>451</v>
      </c>
      <c r="M954" s="222">
        <v>2021.0</v>
      </c>
      <c r="N954" s="214" t="s">
        <v>425</v>
      </c>
      <c r="O954" s="223">
        <v>4.0</v>
      </c>
      <c r="P954" s="224">
        <f t="shared" si="1"/>
        <v>0.1395348837</v>
      </c>
      <c r="Q954" s="214" t="str">
        <f t="shared" si="2"/>
        <v>Medium</v>
      </c>
    </row>
    <row r="955" ht="15.75" customHeight="1">
      <c r="A955" s="214" t="s">
        <v>1486</v>
      </c>
      <c r="B955" s="216">
        <v>2451.0</v>
      </c>
      <c r="C955" s="216">
        <v>342.0</v>
      </c>
      <c r="D955" s="217">
        <v>8.0</v>
      </c>
      <c r="E955" s="219" t="s">
        <v>242</v>
      </c>
      <c r="F955" s="219" t="s">
        <v>357</v>
      </c>
      <c r="G955" s="214" t="s">
        <v>406</v>
      </c>
      <c r="H955" s="221">
        <v>45503.0</v>
      </c>
      <c r="I955" s="219" t="s">
        <v>1489</v>
      </c>
      <c r="J955" s="219" t="s">
        <v>241</v>
      </c>
      <c r="K955" s="219" t="s">
        <v>541</v>
      </c>
      <c r="L955" s="214" t="s">
        <v>482</v>
      </c>
      <c r="M955" s="222">
        <v>2024.0</v>
      </c>
      <c r="N955" s="214" t="s">
        <v>404</v>
      </c>
      <c r="O955" s="223">
        <v>3.0</v>
      </c>
      <c r="P955" s="224">
        <f t="shared" si="1"/>
        <v>0.1395348837</v>
      </c>
      <c r="Q955" s="214" t="str">
        <f t="shared" si="2"/>
        <v>Medium</v>
      </c>
    </row>
    <row r="956" ht="15.75" customHeight="1">
      <c r="A956" s="214" t="s">
        <v>1490</v>
      </c>
      <c r="B956" s="216">
        <v>7067.0</v>
      </c>
      <c r="C956" s="216">
        <v>1943.0</v>
      </c>
      <c r="D956" s="217">
        <v>16.0</v>
      </c>
      <c r="E956" s="219" t="s">
        <v>216</v>
      </c>
      <c r="F956" s="219" t="s">
        <v>344</v>
      </c>
      <c r="G956" s="214" t="s">
        <v>350</v>
      </c>
      <c r="H956" s="221">
        <v>44635.0</v>
      </c>
      <c r="I956" s="219" t="s">
        <v>1491</v>
      </c>
      <c r="J956" s="219" t="s">
        <v>117</v>
      </c>
      <c r="K956" s="219" t="s">
        <v>508</v>
      </c>
      <c r="L956" s="214" t="s">
        <v>455</v>
      </c>
      <c r="M956" s="222">
        <v>2022.0</v>
      </c>
      <c r="N956" s="214" t="s">
        <v>433</v>
      </c>
      <c r="O956" s="223">
        <v>1.0</v>
      </c>
      <c r="P956" s="224">
        <f t="shared" si="1"/>
        <v>0.2749398613</v>
      </c>
      <c r="Q956" s="214" t="str">
        <f t="shared" si="2"/>
        <v>High</v>
      </c>
    </row>
    <row r="957" ht="15.75" customHeight="1">
      <c r="A957" s="214" t="s">
        <v>1492</v>
      </c>
      <c r="B957" s="216">
        <v>4307.0</v>
      </c>
      <c r="C957" s="216">
        <v>615.0</v>
      </c>
      <c r="D957" s="217">
        <v>3.0</v>
      </c>
      <c r="E957" s="219" t="s">
        <v>157</v>
      </c>
      <c r="F957" s="219" t="s">
        <v>355</v>
      </c>
      <c r="G957" s="214" t="s">
        <v>392</v>
      </c>
      <c r="H957" s="221">
        <v>45366.0</v>
      </c>
      <c r="I957" s="219" t="s">
        <v>1493</v>
      </c>
      <c r="J957" s="219" t="s">
        <v>223</v>
      </c>
      <c r="K957" s="219" t="s">
        <v>428</v>
      </c>
      <c r="L957" s="214" t="s">
        <v>479</v>
      </c>
      <c r="M957" s="222">
        <v>2024.0</v>
      </c>
      <c r="N957" s="214" t="s">
        <v>433</v>
      </c>
      <c r="O957" s="223">
        <v>1.0</v>
      </c>
      <c r="P957" s="224">
        <f t="shared" si="1"/>
        <v>0.1427908057</v>
      </c>
      <c r="Q957" s="214" t="str">
        <f t="shared" si="2"/>
        <v>Medium</v>
      </c>
    </row>
    <row r="958" ht="15.75" customHeight="1">
      <c r="A958" s="214" t="s">
        <v>1492</v>
      </c>
      <c r="B958" s="216">
        <v>4307.0</v>
      </c>
      <c r="C958" s="216">
        <v>615.0</v>
      </c>
      <c r="D958" s="217">
        <v>3.0</v>
      </c>
      <c r="E958" s="219" t="s">
        <v>157</v>
      </c>
      <c r="F958" s="219" t="s">
        <v>355</v>
      </c>
      <c r="G958" s="214" t="s">
        <v>392</v>
      </c>
      <c r="H958" s="221">
        <v>44145.0</v>
      </c>
      <c r="I958" s="219" t="s">
        <v>1494</v>
      </c>
      <c r="J958" s="219" t="s">
        <v>271</v>
      </c>
      <c r="K958" s="219" t="s">
        <v>449</v>
      </c>
      <c r="L958" s="214" t="s">
        <v>436</v>
      </c>
      <c r="M958" s="222">
        <v>2020.0</v>
      </c>
      <c r="N958" s="214" t="s">
        <v>425</v>
      </c>
      <c r="O958" s="223">
        <v>4.0</v>
      </c>
      <c r="P958" s="224">
        <f t="shared" si="1"/>
        <v>0.1427908057</v>
      </c>
      <c r="Q958" s="214" t="str">
        <f t="shared" si="2"/>
        <v>Medium</v>
      </c>
    </row>
    <row r="959" ht="15.75" customHeight="1">
      <c r="A959" s="214" t="s">
        <v>1492</v>
      </c>
      <c r="B959" s="216">
        <v>5694.0</v>
      </c>
      <c r="C959" s="216">
        <v>1134.0</v>
      </c>
      <c r="D959" s="217">
        <v>5.0</v>
      </c>
      <c r="E959" s="219" t="s">
        <v>216</v>
      </c>
      <c r="F959" s="219" t="s">
        <v>359</v>
      </c>
      <c r="G959" s="214" t="s">
        <v>406</v>
      </c>
      <c r="H959" s="221">
        <v>45366.0</v>
      </c>
      <c r="I959" s="219" t="s">
        <v>1493</v>
      </c>
      <c r="J959" s="219" t="s">
        <v>223</v>
      </c>
      <c r="K959" s="219" t="s">
        <v>428</v>
      </c>
      <c r="L959" s="214" t="s">
        <v>479</v>
      </c>
      <c r="M959" s="222">
        <v>2024.0</v>
      </c>
      <c r="N959" s="214" t="s">
        <v>433</v>
      </c>
      <c r="O959" s="223">
        <v>1.0</v>
      </c>
      <c r="P959" s="224">
        <f t="shared" si="1"/>
        <v>0.1991570074</v>
      </c>
      <c r="Q959" s="214" t="str">
        <f t="shared" si="2"/>
        <v>High</v>
      </c>
    </row>
    <row r="960" ht="15.75" customHeight="1">
      <c r="A960" s="214" t="s">
        <v>1492</v>
      </c>
      <c r="B960" s="216">
        <v>5694.0</v>
      </c>
      <c r="C960" s="216">
        <v>1134.0</v>
      </c>
      <c r="D960" s="217">
        <v>5.0</v>
      </c>
      <c r="E960" s="219" t="s">
        <v>216</v>
      </c>
      <c r="F960" s="219" t="s">
        <v>359</v>
      </c>
      <c r="G960" s="214" t="s">
        <v>406</v>
      </c>
      <c r="H960" s="221">
        <v>44145.0</v>
      </c>
      <c r="I960" s="219" t="s">
        <v>1494</v>
      </c>
      <c r="J960" s="219" t="s">
        <v>271</v>
      </c>
      <c r="K960" s="219" t="s">
        <v>449</v>
      </c>
      <c r="L960" s="214" t="s">
        <v>436</v>
      </c>
      <c r="M960" s="222">
        <v>2020.0</v>
      </c>
      <c r="N960" s="214" t="s">
        <v>425</v>
      </c>
      <c r="O960" s="223">
        <v>4.0</v>
      </c>
      <c r="P960" s="224">
        <f t="shared" si="1"/>
        <v>0.1991570074</v>
      </c>
      <c r="Q960" s="214" t="str">
        <f t="shared" si="2"/>
        <v>High</v>
      </c>
    </row>
    <row r="961" ht="15.75" customHeight="1">
      <c r="A961" s="214" t="s">
        <v>1495</v>
      </c>
      <c r="B961" s="216">
        <v>962.0</v>
      </c>
      <c r="C961" s="216">
        <v>298.0</v>
      </c>
      <c r="D961" s="217">
        <v>18.0</v>
      </c>
      <c r="E961" s="219" t="s">
        <v>242</v>
      </c>
      <c r="F961" s="219" t="s">
        <v>362</v>
      </c>
      <c r="G961" s="214" t="s">
        <v>350</v>
      </c>
      <c r="H961" s="221">
        <v>44765.0</v>
      </c>
      <c r="I961" s="219" t="s">
        <v>1496</v>
      </c>
      <c r="J961" s="219" t="s">
        <v>271</v>
      </c>
      <c r="K961" s="219" t="s">
        <v>449</v>
      </c>
      <c r="L961" s="214" t="s">
        <v>460</v>
      </c>
      <c r="M961" s="222">
        <v>2022.0</v>
      </c>
      <c r="N961" s="214" t="s">
        <v>404</v>
      </c>
      <c r="O961" s="223">
        <v>3.0</v>
      </c>
      <c r="P961" s="224">
        <f t="shared" si="1"/>
        <v>0.3097713098</v>
      </c>
      <c r="Q961" s="214" t="str">
        <f t="shared" si="2"/>
        <v>Medium</v>
      </c>
    </row>
    <row r="962" ht="15.75" customHeight="1">
      <c r="A962" s="214" t="s">
        <v>1497</v>
      </c>
      <c r="B962" s="216">
        <v>2995.0</v>
      </c>
      <c r="C962" s="216">
        <v>220.0</v>
      </c>
      <c r="D962" s="217">
        <v>14.0</v>
      </c>
      <c r="E962" s="219" t="s">
        <v>216</v>
      </c>
      <c r="F962" s="219" t="s">
        <v>361</v>
      </c>
      <c r="G962" s="214" t="s">
        <v>350</v>
      </c>
      <c r="H962" s="221">
        <v>45548.0</v>
      </c>
      <c r="I962" s="219" t="s">
        <v>1498</v>
      </c>
      <c r="J962" s="219" t="s">
        <v>223</v>
      </c>
      <c r="K962" s="219" t="s">
        <v>402</v>
      </c>
      <c r="L962" s="214" t="s">
        <v>484</v>
      </c>
      <c r="M962" s="222">
        <v>2024.0</v>
      </c>
      <c r="N962" s="214" t="s">
        <v>536</v>
      </c>
      <c r="O962" s="223">
        <v>3.0</v>
      </c>
      <c r="P962" s="224">
        <f t="shared" si="1"/>
        <v>0.0734557596</v>
      </c>
      <c r="Q962" s="214" t="str">
        <f t="shared" si="2"/>
        <v>Medium</v>
      </c>
    </row>
    <row r="963" ht="15.75" customHeight="1">
      <c r="A963" s="214" t="s">
        <v>1497</v>
      </c>
      <c r="B963" s="216">
        <v>2047.0</v>
      </c>
      <c r="C963" s="216">
        <v>914.0</v>
      </c>
      <c r="D963" s="217">
        <v>5.0</v>
      </c>
      <c r="E963" s="219" t="s">
        <v>242</v>
      </c>
      <c r="F963" s="219" t="s">
        <v>317</v>
      </c>
      <c r="G963" s="214" t="s">
        <v>351</v>
      </c>
      <c r="H963" s="221">
        <v>45548.0</v>
      </c>
      <c r="I963" s="219" t="s">
        <v>1498</v>
      </c>
      <c r="J963" s="219" t="s">
        <v>223</v>
      </c>
      <c r="K963" s="219" t="s">
        <v>402</v>
      </c>
      <c r="L963" s="214" t="s">
        <v>484</v>
      </c>
      <c r="M963" s="222">
        <v>2024.0</v>
      </c>
      <c r="N963" s="214" t="s">
        <v>536</v>
      </c>
      <c r="O963" s="223">
        <v>3.0</v>
      </c>
      <c r="P963" s="224">
        <f t="shared" si="1"/>
        <v>0.4465070835</v>
      </c>
      <c r="Q963" s="214" t="str">
        <f t="shared" si="2"/>
        <v>Medium</v>
      </c>
    </row>
    <row r="964" ht="15.75" customHeight="1">
      <c r="A964" s="214" t="s">
        <v>1499</v>
      </c>
      <c r="B964" s="216">
        <v>2078.0</v>
      </c>
      <c r="C964" s="216">
        <v>612.0</v>
      </c>
      <c r="D964" s="217">
        <v>6.0</v>
      </c>
      <c r="E964" s="219" t="s">
        <v>157</v>
      </c>
      <c r="F964" s="219" t="s">
        <v>360</v>
      </c>
      <c r="G964" s="214" t="s">
        <v>405</v>
      </c>
      <c r="H964" s="221">
        <v>44586.0</v>
      </c>
      <c r="I964" s="219" t="s">
        <v>1500</v>
      </c>
      <c r="J964" s="219" t="s">
        <v>241</v>
      </c>
      <c r="K964" s="219" t="s">
        <v>504</v>
      </c>
      <c r="L964" s="214" t="s">
        <v>453</v>
      </c>
      <c r="M964" s="222">
        <v>2022.0</v>
      </c>
      <c r="N964" s="214" t="s">
        <v>497</v>
      </c>
      <c r="O964" s="223">
        <v>1.0</v>
      </c>
      <c r="P964" s="224">
        <f t="shared" si="1"/>
        <v>0.2945139557</v>
      </c>
      <c r="Q964" s="214" t="str">
        <f t="shared" si="2"/>
        <v>Medium</v>
      </c>
    </row>
    <row r="965" ht="15.75" customHeight="1">
      <c r="A965" s="214" t="s">
        <v>1501</v>
      </c>
      <c r="B965" s="216">
        <v>2737.0</v>
      </c>
      <c r="C965" s="216">
        <v>1253.0</v>
      </c>
      <c r="D965" s="217">
        <v>3.0</v>
      </c>
      <c r="E965" s="219" t="s">
        <v>157</v>
      </c>
      <c r="F965" s="219" t="s">
        <v>354</v>
      </c>
      <c r="G965" s="214" t="s">
        <v>406</v>
      </c>
      <c r="H965" s="221">
        <v>44305.0</v>
      </c>
      <c r="I965" s="219" t="s">
        <v>1502</v>
      </c>
      <c r="J965" s="219" t="s">
        <v>223</v>
      </c>
      <c r="K965" s="219" t="s">
        <v>428</v>
      </c>
      <c r="L965" s="214" t="s">
        <v>442</v>
      </c>
      <c r="M965" s="222">
        <v>2021.0</v>
      </c>
      <c r="N965" s="214" t="s">
        <v>542</v>
      </c>
      <c r="O965" s="223">
        <v>2.0</v>
      </c>
      <c r="P965" s="224">
        <f t="shared" si="1"/>
        <v>0.4578005115</v>
      </c>
      <c r="Q965" s="214" t="str">
        <f t="shared" si="2"/>
        <v>Medium</v>
      </c>
    </row>
    <row r="966" ht="15.75" customHeight="1">
      <c r="A966" s="214" t="s">
        <v>1503</v>
      </c>
      <c r="B966" s="216">
        <v>8194.0</v>
      </c>
      <c r="C966" s="216">
        <v>2881.0</v>
      </c>
      <c r="D966" s="217">
        <v>6.0</v>
      </c>
      <c r="E966" s="219" t="s">
        <v>242</v>
      </c>
      <c r="F966" s="219" t="s">
        <v>357</v>
      </c>
      <c r="G966" s="214" t="s">
        <v>351</v>
      </c>
      <c r="H966" s="221">
        <v>44395.0</v>
      </c>
      <c r="I966" s="219" t="s">
        <v>1504</v>
      </c>
      <c r="J966" s="219" t="s">
        <v>241</v>
      </c>
      <c r="K966" s="219" t="s">
        <v>541</v>
      </c>
      <c r="L966" s="214" t="s">
        <v>403</v>
      </c>
      <c r="M966" s="222">
        <v>2021.0</v>
      </c>
      <c r="N966" s="214" t="s">
        <v>404</v>
      </c>
      <c r="O966" s="223">
        <v>3.0</v>
      </c>
      <c r="P966" s="224">
        <f t="shared" si="1"/>
        <v>0.3515987308</v>
      </c>
      <c r="Q966" s="214" t="str">
        <f t="shared" si="2"/>
        <v>High</v>
      </c>
    </row>
    <row r="967" ht="15.75" customHeight="1">
      <c r="A967" s="214" t="s">
        <v>1505</v>
      </c>
      <c r="B967" s="216">
        <v>9914.0</v>
      </c>
      <c r="C967" s="216">
        <v>3858.0</v>
      </c>
      <c r="D967" s="217">
        <v>16.0</v>
      </c>
      <c r="E967" s="219" t="s">
        <v>216</v>
      </c>
      <c r="F967" s="219" t="s">
        <v>347</v>
      </c>
      <c r="G967" s="214" t="s">
        <v>350</v>
      </c>
      <c r="H967" s="221">
        <v>44736.0</v>
      </c>
      <c r="I967" s="219" t="s">
        <v>1506</v>
      </c>
      <c r="J967" s="219" t="s">
        <v>223</v>
      </c>
      <c r="K967" s="219" t="s">
        <v>402</v>
      </c>
      <c r="L967" s="214" t="s">
        <v>458</v>
      </c>
      <c r="M967" s="222">
        <v>2022.0</v>
      </c>
      <c r="N967" s="214" t="s">
        <v>396</v>
      </c>
      <c r="O967" s="223">
        <v>2.0</v>
      </c>
      <c r="P967" s="224">
        <f t="shared" si="1"/>
        <v>0.3891466613</v>
      </c>
      <c r="Q967" s="214" t="str">
        <f t="shared" si="2"/>
        <v>High</v>
      </c>
    </row>
    <row r="968" ht="15.75" customHeight="1">
      <c r="A968" s="214" t="s">
        <v>1505</v>
      </c>
      <c r="B968" s="216">
        <v>9914.0</v>
      </c>
      <c r="C968" s="216">
        <v>3858.0</v>
      </c>
      <c r="D968" s="217">
        <v>16.0</v>
      </c>
      <c r="E968" s="219" t="s">
        <v>216</v>
      </c>
      <c r="F968" s="219" t="s">
        <v>347</v>
      </c>
      <c r="G968" s="214" t="s">
        <v>350</v>
      </c>
      <c r="H968" s="221">
        <v>45451.0</v>
      </c>
      <c r="I968" s="219" t="s">
        <v>1507</v>
      </c>
      <c r="J968" s="219" t="s">
        <v>223</v>
      </c>
      <c r="K968" s="219" t="s">
        <v>473</v>
      </c>
      <c r="L968" s="214" t="s">
        <v>481</v>
      </c>
      <c r="M968" s="222">
        <v>2024.0</v>
      </c>
      <c r="N968" s="214" t="s">
        <v>396</v>
      </c>
      <c r="O968" s="223">
        <v>2.0</v>
      </c>
      <c r="P968" s="224">
        <f t="shared" si="1"/>
        <v>0.3891466613</v>
      </c>
      <c r="Q968" s="214" t="str">
        <f t="shared" si="2"/>
        <v>High</v>
      </c>
    </row>
    <row r="969" ht="15.75" customHeight="1">
      <c r="A969" s="214" t="s">
        <v>1505</v>
      </c>
      <c r="B969" s="216">
        <v>5470.0</v>
      </c>
      <c r="C969" s="216">
        <v>292.0</v>
      </c>
      <c r="D969" s="217">
        <v>7.0</v>
      </c>
      <c r="E969" s="219" t="s">
        <v>242</v>
      </c>
      <c r="F969" s="219" t="s">
        <v>356</v>
      </c>
      <c r="G969" s="214" t="s">
        <v>351</v>
      </c>
      <c r="H969" s="221">
        <v>44736.0</v>
      </c>
      <c r="I969" s="219" t="s">
        <v>1506</v>
      </c>
      <c r="J969" s="219" t="s">
        <v>223</v>
      </c>
      <c r="K969" s="219" t="s">
        <v>402</v>
      </c>
      <c r="L969" s="214" t="s">
        <v>458</v>
      </c>
      <c r="M969" s="222">
        <v>2022.0</v>
      </c>
      <c r="N969" s="214" t="s">
        <v>396</v>
      </c>
      <c r="O969" s="223">
        <v>2.0</v>
      </c>
      <c r="P969" s="224">
        <f t="shared" si="1"/>
        <v>0.0533820841</v>
      </c>
      <c r="Q969" s="214" t="str">
        <f t="shared" si="2"/>
        <v>High</v>
      </c>
    </row>
    <row r="970" ht="15.75" customHeight="1">
      <c r="A970" s="214" t="s">
        <v>1505</v>
      </c>
      <c r="B970" s="216">
        <v>5470.0</v>
      </c>
      <c r="C970" s="216">
        <v>292.0</v>
      </c>
      <c r="D970" s="217">
        <v>7.0</v>
      </c>
      <c r="E970" s="219" t="s">
        <v>242</v>
      </c>
      <c r="F970" s="219" t="s">
        <v>356</v>
      </c>
      <c r="G970" s="214" t="s">
        <v>351</v>
      </c>
      <c r="H970" s="221">
        <v>45451.0</v>
      </c>
      <c r="I970" s="219" t="s">
        <v>1507</v>
      </c>
      <c r="J970" s="219" t="s">
        <v>223</v>
      </c>
      <c r="K970" s="219" t="s">
        <v>473</v>
      </c>
      <c r="L970" s="214" t="s">
        <v>481</v>
      </c>
      <c r="M970" s="222">
        <v>2024.0</v>
      </c>
      <c r="N970" s="214" t="s">
        <v>396</v>
      </c>
      <c r="O970" s="223">
        <v>2.0</v>
      </c>
      <c r="P970" s="224">
        <f t="shared" si="1"/>
        <v>0.0533820841</v>
      </c>
      <c r="Q970" s="214" t="str">
        <f t="shared" si="2"/>
        <v>High</v>
      </c>
    </row>
    <row r="971" ht="15.75" customHeight="1">
      <c r="A971" s="214" t="s">
        <v>1505</v>
      </c>
      <c r="B971" s="216">
        <v>1496.0</v>
      </c>
      <c r="C971" s="216">
        <v>662.0</v>
      </c>
      <c r="D971" s="217">
        <v>17.0</v>
      </c>
      <c r="E971" s="219" t="s">
        <v>216</v>
      </c>
      <c r="F971" s="219" t="s">
        <v>361</v>
      </c>
      <c r="G971" s="214" t="s">
        <v>392</v>
      </c>
      <c r="H971" s="221">
        <v>44736.0</v>
      </c>
      <c r="I971" s="219" t="s">
        <v>1506</v>
      </c>
      <c r="J971" s="219" t="s">
        <v>223</v>
      </c>
      <c r="K971" s="219" t="s">
        <v>402</v>
      </c>
      <c r="L971" s="214" t="s">
        <v>458</v>
      </c>
      <c r="M971" s="222">
        <v>2022.0</v>
      </c>
      <c r="N971" s="214" t="s">
        <v>396</v>
      </c>
      <c r="O971" s="223">
        <v>2.0</v>
      </c>
      <c r="P971" s="224">
        <f t="shared" si="1"/>
        <v>0.442513369</v>
      </c>
      <c r="Q971" s="214" t="str">
        <f t="shared" si="2"/>
        <v>Medium</v>
      </c>
    </row>
    <row r="972" ht="15.75" customHeight="1">
      <c r="A972" s="214" t="s">
        <v>1505</v>
      </c>
      <c r="B972" s="216">
        <v>1496.0</v>
      </c>
      <c r="C972" s="216">
        <v>662.0</v>
      </c>
      <c r="D972" s="217">
        <v>17.0</v>
      </c>
      <c r="E972" s="219" t="s">
        <v>216</v>
      </c>
      <c r="F972" s="219" t="s">
        <v>361</v>
      </c>
      <c r="G972" s="214" t="s">
        <v>392</v>
      </c>
      <c r="H972" s="221">
        <v>45451.0</v>
      </c>
      <c r="I972" s="219" t="s">
        <v>1507</v>
      </c>
      <c r="J972" s="219" t="s">
        <v>223</v>
      </c>
      <c r="K972" s="219" t="s">
        <v>473</v>
      </c>
      <c r="L972" s="214" t="s">
        <v>481</v>
      </c>
      <c r="M972" s="222">
        <v>2024.0</v>
      </c>
      <c r="N972" s="214" t="s">
        <v>396</v>
      </c>
      <c r="O972" s="223">
        <v>2.0</v>
      </c>
      <c r="P972" s="224">
        <f t="shared" si="1"/>
        <v>0.442513369</v>
      </c>
      <c r="Q972" s="214" t="str">
        <f t="shared" si="2"/>
        <v>Medium</v>
      </c>
    </row>
    <row r="973" ht="15.75" customHeight="1">
      <c r="A973" s="214" t="s">
        <v>1508</v>
      </c>
      <c r="B973" s="216">
        <v>3228.0</v>
      </c>
      <c r="C973" s="216">
        <v>476.0</v>
      </c>
      <c r="D973" s="217">
        <v>9.0</v>
      </c>
      <c r="E973" s="219" t="s">
        <v>242</v>
      </c>
      <c r="F973" s="219" t="s">
        <v>357</v>
      </c>
      <c r="G973" s="214" t="s">
        <v>405</v>
      </c>
      <c r="H973" s="221">
        <v>44833.0</v>
      </c>
      <c r="I973" s="219" t="s">
        <v>1509</v>
      </c>
      <c r="J973" s="219" t="s">
        <v>223</v>
      </c>
      <c r="K973" s="219" t="s">
        <v>428</v>
      </c>
      <c r="L973" s="214" t="s">
        <v>462</v>
      </c>
      <c r="M973" s="222">
        <v>2022.0</v>
      </c>
      <c r="N973" s="214" t="s">
        <v>536</v>
      </c>
      <c r="O973" s="223">
        <v>3.0</v>
      </c>
      <c r="P973" s="224">
        <f t="shared" si="1"/>
        <v>0.1474597274</v>
      </c>
      <c r="Q973" s="214" t="str">
        <f t="shared" si="2"/>
        <v>Medium</v>
      </c>
    </row>
    <row r="974" ht="15.75" customHeight="1">
      <c r="A974" s="214" t="s">
        <v>1510</v>
      </c>
      <c r="B974" s="216">
        <v>3918.0</v>
      </c>
      <c r="C974" s="216">
        <v>749.0</v>
      </c>
      <c r="D974" s="217">
        <v>8.0</v>
      </c>
      <c r="E974" s="219" t="s">
        <v>157</v>
      </c>
      <c r="F974" s="219" t="s">
        <v>360</v>
      </c>
      <c r="G974" s="214" t="s">
        <v>350</v>
      </c>
      <c r="H974" s="221">
        <v>45056.0</v>
      </c>
      <c r="I974" s="219" t="s">
        <v>1511</v>
      </c>
      <c r="J974" s="219" t="s">
        <v>117</v>
      </c>
      <c r="K974" s="219" t="s">
        <v>496</v>
      </c>
      <c r="L974" s="214" t="s">
        <v>469</v>
      </c>
      <c r="M974" s="222">
        <v>2023.0</v>
      </c>
      <c r="N974" s="214" t="s">
        <v>411</v>
      </c>
      <c r="O974" s="223">
        <v>2.0</v>
      </c>
      <c r="P974" s="224">
        <f t="shared" si="1"/>
        <v>0.1911689638</v>
      </c>
      <c r="Q974" s="214" t="str">
        <f t="shared" si="2"/>
        <v>Medium</v>
      </c>
    </row>
    <row r="975" ht="15.75" customHeight="1">
      <c r="A975" s="214" t="s">
        <v>1510</v>
      </c>
      <c r="B975" s="216">
        <v>3918.0</v>
      </c>
      <c r="C975" s="216">
        <v>749.0</v>
      </c>
      <c r="D975" s="217">
        <v>8.0</v>
      </c>
      <c r="E975" s="219" t="s">
        <v>157</v>
      </c>
      <c r="F975" s="219" t="s">
        <v>360</v>
      </c>
      <c r="G975" s="214" t="s">
        <v>350</v>
      </c>
      <c r="H975" s="221">
        <v>43953.0</v>
      </c>
      <c r="I975" s="219" t="s">
        <v>1512</v>
      </c>
      <c r="J975" s="219" t="s">
        <v>241</v>
      </c>
      <c r="K975" s="219" t="s">
        <v>541</v>
      </c>
      <c r="L975" s="214" t="s">
        <v>419</v>
      </c>
      <c r="M975" s="222">
        <v>2020.0</v>
      </c>
      <c r="N975" s="214" t="s">
        <v>411</v>
      </c>
      <c r="O975" s="223">
        <v>2.0</v>
      </c>
      <c r="P975" s="224">
        <f t="shared" si="1"/>
        <v>0.1911689638</v>
      </c>
      <c r="Q975" s="214" t="str">
        <f t="shared" si="2"/>
        <v>Medium</v>
      </c>
    </row>
    <row r="976" ht="15.75" customHeight="1">
      <c r="A976" s="214" t="s">
        <v>1513</v>
      </c>
      <c r="B976" s="216">
        <v>9921.0</v>
      </c>
      <c r="C976" s="216">
        <v>1451.0</v>
      </c>
      <c r="D976" s="217">
        <v>15.0</v>
      </c>
      <c r="E976" s="219" t="s">
        <v>216</v>
      </c>
      <c r="F976" s="219" t="s">
        <v>347</v>
      </c>
      <c r="G976" s="214" t="s">
        <v>406</v>
      </c>
      <c r="H976" s="221">
        <v>44298.0</v>
      </c>
      <c r="I976" s="219" t="s">
        <v>1514</v>
      </c>
      <c r="J976" s="219" t="s">
        <v>271</v>
      </c>
      <c r="K976" s="219" t="s">
        <v>398</v>
      </c>
      <c r="L976" s="214" t="s">
        <v>442</v>
      </c>
      <c r="M976" s="222">
        <v>2021.0</v>
      </c>
      <c r="N976" s="214" t="s">
        <v>542</v>
      </c>
      <c r="O976" s="223">
        <v>2.0</v>
      </c>
      <c r="P976" s="224">
        <f t="shared" si="1"/>
        <v>0.1462554178</v>
      </c>
      <c r="Q976" s="214" t="str">
        <f t="shared" si="2"/>
        <v>High</v>
      </c>
    </row>
    <row r="977" ht="15.75" customHeight="1">
      <c r="A977" s="214" t="s">
        <v>1515</v>
      </c>
      <c r="B977" s="216">
        <v>9694.0</v>
      </c>
      <c r="C977" s="216">
        <v>4361.0</v>
      </c>
      <c r="D977" s="217">
        <v>1.0</v>
      </c>
      <c r="E977" s="219" t="s">
        <v>216</v>
      </c>
      <c r="F977" s="219" t="s">
        <v>359</v>
      </c>
      <c r="G977" s="214" t="s">
        <v>406</v>
      </c>
      <c r="H977" s="221">
        <v>45234.0</v>
      </c>
      <c r="I977" s="219" t="s">
        <v>1516</v>
      </c>
      <c r="J977" s="219" t="s">
        <v>271</v>
      </c>
      <c r="K977" s="219" t="s">
        <v>449</v>
      </c>
      <c r="L977" s="214" t="s">
        <v>429</v>
      </c>
      <c r="M977" s="222">
        <v>2023.0</v>
      </c>
      <c r="N977" s="214" t="s">
        <v>425</v>
      </c>
      <c r="O977" s="223">
        <v>4.0</v>
      </c>
      <c r="P977" s="224">
        <f t="shared" si="1"/>
        <v>0.4498658964</v>
      </c>
      <c r="Q977" s="214" t="str">
        <f t="shared" si="2"/>
        <v>High</v>
      </c>
    </row>
    <row r="978" ht="15.75" customHeight="1">
      <c r="A978" s="214" t="s">
        <v>1517</v>
      </c>
      <c r="B978" s="216">
        <v>5028.0</v>
      </c>
      <c r="C978" s="216">
        <v>1553.0</v>
      </c>
      <c r="D978" s="217">
        <v>13.0</v>
      </c>
      <c r="E978" s="219" t="s">
        <v>242</v>
      </c>
      <c r="F978" s="219" t="s">
        <v>357</v>
      </c>
      <c r="G978" s="214" t="s">
        <v>406</v>
      </c>
      <c r="H978" s="221">
        <v>43955.0</v>
      </c>
      <c r="I978" s="219" t="s">
        <v>1518</v>
      </c>
      <c r="J978" s="219" t="s">
        <v>159</v>
      </c>
      <c r="K978" s="219" t="s">
        <v>552</v>
      </c>
      <c r="L978" s="214" t="s">
        <v>419</v>
      </c>
      <c r="M978" s="222">
        <v>2020.0</v>
      </c>
      <c r="N978" s="214" t="s">
        <v>411</v>
      </c>
      <c r="O978" s="223">
        <v>2.0</v>
      </c>
      <c r="P978" s="224">
        <f t="shared" si="1"/>
        <v>0.3088703262</v>
      </c>
      <c r="Q978" s="214" t="str">
        <f t="shared" si="2"/>
        <v>High</v>
      </c>
    </row>
    <row r="979" ht="15.75" customHeight="1">
      <c r="A979" s="214" t="s">
        <v>1519</v>
      </c>
      <c r="B979" s="216">
        <v>594.0</v>
      </c>
      <c r="C979" s="216">
        <v>67.0</v>
      </c>
      <c r="D979" s="217">
        <v>19.0</v>
      </c>
      <c r="E979" s="219" t="s">
        <v>242</v>
      </c>
      <c r="F979" s="219" t="s">
        <v>357</v>
      </c>
      <c r="G979" s="214" t="s">
        <v>351</v>
      </c>
      <c r="H979" s="221">
        <v>45179.0</v>
      </c>
      <c r="I979" s="219" t="s">
        <v>1520</v>
      </c>
      <c r="J979" s="219" t="s">
        <v>223</v>
      </c>
      <c r="K979" s="219" t="s">
        <v>402</v>
      </c>
      <c r="L979" s="214" t="s">
        <v>474</v>
      </c>
      <c r="M979" s="222">
        <v>2023.0</v>
      </c>
      <c r="N979" s="214" t="s">
        <v>536</v>
      </c>
      <c r="O979" s="223">
        <v>3.0</v>
      </c>
      <c r="P979" s="224">
        <f t="shared" si="1"/>
        <v>0.1127946128</v>
      </c>
      <c r="Q979" s="214" t="str">
        <f t="shared" si="2"/>
        <v>Medium</v>
      </c>
    </row>
    <row r="980" ht="15.75" customHeight="1">
      <c r="A980" s="214" t="s">
        <v>1519</v>
      </c>
      <c r="B980" s="216">
        <v>594.0</v>
      </c>
      <c r="C980" s="216">
        <v>67.0</v>
      </c>
      <c r="D980" s="217">
        <v>19.0</v>
      </c>
      <c r="E980" s="219" t="s">
        <v>242</v>
      </c>
      <c r="F980" s="219" t="s">
        <v>357</v>
      </c>
      <c r="G980" s="214" t="s">
        <v>351</v>
      </c>
      <c r="H980" s="221">
        <v>45296.0</v>
      </c>
      <c r="I980" s="219" t="s">
        <v>1521</v>
      </c>
      <c r="J980" s="219" t="s">
        <v>159</v>
      </c>
      <c r="K980" s="219" t="s">
        <v>394</v>
      </c>
      <c r="L980" s="214" t="s">
        <v>477</v>
      </c>
      <c r="M980" s="222">
        <v>2024.0</v>
      </c>
      <c r="N980" s="214" t="s">
        <v>497</v>
      </c>
      <c r="O980" s="223">
        <v>1.0</v>
      </c>
      <c r="P980" s="224">
        <f t="shared" si="1"/>
        <v>0.1127946128</v>
      </c>
      <c r="Q980" s="214" t="str">
        <f t="shared" si="2"/>
        <v>Medium</v>
      </c>
    </row>
    <row r="981" ht="15.75" customHeight="1">
      <c r="A981" s="214" t="s">
        <v>1519</v>
      </c>
      <c r="B981" s="216">
        <v>594.0</v>
      </c>
      <c r="C981" s="216">
        <v>67.0</v>
      </c>
      <c r="D981" s="217">
        <v>19.0</v>
      </c>
      <c r="E981" s="219" t="s">
        <v>242</v>
      </c>
      <c r="F981" s="219" t="s">
        <v>357</v>
      </c>
      <c r="G981" s="214" t="s">
        <v>351</v>
      </c>
      <c r="H981" s="221">
        <v>45420.0</v>
      </c>
      <c r="I981" s="219" t="s">
        <v>1522</v>
      </c>
      <c r="J981" s="219" t="s">
        <v>241</v>
      </c>
      <c r="K981" s="219" t="s">
        <v>504</v>
      </c>
      <c r="L981" s="214" t="s">
        <v>410</v>
      </c>
      <c r="M981" s="222">
        <v>2024.0</v>
      </c>
      <c r="N981" s="214" t="s">
        <v>411</v>
      </c>
      <c r="O981" s="223">
        <v>2.0</v>
      </c>
      <c r="P981" s="224">
        <f t="shared" si="1"/>
        <v>0.1127946128</v>
      </c>
      <c r="Q981" s="214" t="str">
        <f t="shared" si="2"/>
        <v>Medium</v>
      </c>
    </row>
    <row r="982" ht="15.75" customHeight="1">
      <c r="A982" s="214" t="s">
        <v>1523</v>
      </c>
      <c r="B982" s="216">
        <v>5954.0</v>
      </c>
      <c r="C982" s="216">
        <v>2618.0</v>
      </c>
      <c r="D982" s="217">
        <v>11.0</v>
      </c>
      <c r="E982" s="219" t="s">
        <v>216</v>
      </c>
      <c r="F982" s="219" t="s">
        <v>344</v>
      </c>
      <c r="G982" s="214" t="s">
        <v>405</v>
      </c>
      <c r="H982" s="221">
        <v>45381.0</v>
      </c>
      <c r="I982" s="219" t="s">
        <v>1524</v>
      </c>
      <c r="J982" s="219" t="s">
        <v>313</v>
      </c>
      <c r="K982" s="219" t="s">
        <v>518</v>
      </c>
      <c r="L982" s="214" t="s">
        <v>479</v>
      </c>
      <c r="M982" s="222">
        <v>2024.0</v>
      </c>
      <c r="N982" s="214" t="s">
        <v>433</v>
      </c>
      <c r="O982" s="223">
        <v>1.0</v>
      </c>
      <c r="P982" s="224">
        <f t="shared" si="1"/>
        <v>0.4397044004</v>
      </c>
      <c r="Q982" s="214" t="str">
        <f t="shared" si="2"/>
        <v>High</v>
      </c>
    </row>
    <row r="983" ht="15.75" customHeight="1">
      <c r="A983" s="214" t="s">
        <v>1525</v>
      </c>
      <c r="B983" s="216">
        <v>3518.0</v>
      </c>
      <c r="C983" s="216">
        <v>1051.0</v>
      </c>
      <c r="D983" s="217">
        <v>3.0</v>
      </c>
      <c r="E983" s="219" t="s">
        <v>216</v>
      </c>
      <c r="F983" s="219" t="s">
        <v>361</v>
      </c>
      <c r="G983" s="214" t="s">
        <v>392</v>
      </c>
      <c r="H983" s="221">
        <v>44084.0</v>
      </c>
      <c r="I983" s="219" t="s">
        <v>1526</v>
      </c>
      <c r="J983" s="219" t="s">
        <v>117</v>
      </c>
      <c r="K983" s="219" t="s">
        <v>508</v>
      </c>
      <c r="L983" s="214" t="s">
        <v>434</v>
      </c>
      <c r="M983" s="222">
        <v>2020.0</v>
      </c>
      <c r="N983" s="214" t="s">
        <v>536</v>
      </c>
      <c r="O983" s="223">
        <v>3.0</v>
      </c>
      <c r="P983" s="224">
        <f t="shared" si="1"/>
        <v>0.2987492894</v>
      </c>
      <c r="Q983" s="214" t="str">
        <f t="shared" si="2"/>
        <v>Medium</v>
      </c>
    </row>
    <row r="984" ht="15.75" customHeight="1">
      <c r="A984" s="214" t="s">
        <v>1525</v>
      </c>
      <c r="B984" s="216">
        <v>4157.0</v>
      </c>
      <c r="C984" s="216">
        <v>1874.0</v>
      </c>
      <c r="D984" s="217">
        <v>8.0</v>
      </c>
      <c r="E984" s="219" t="s">
        <v>157</v>
      </c>
      <c r="F984" s="219" t="s">
        <v>360</v>
      </c>
      <c r="G984" s="214" t="s">
        <v>406</v>
      </c>
      <c r="H984" s="221">
        <v>44084.0</v>
      </c>
      <c r="I984" s="219" t="s">
        <v>1526</v>
      </c>
      <c r="J984" s="219" t="s">
        <v>117</v>
      </c>
      <c r="K984" s="219" t="s">
        <v>508</v>
      </c>
      <c r="L984" s="214" t="s">
        <v>434</v>
      </c>
      <c r="M984" s="222">
        <v>2020.0</v>
      </c>
      <c r="N984" s="214" t="s">
        <v>536</v>
      </c>
      <c r="O984" s="223">
        <v>3.0</v>
      </c>
      <c r="P984" s="224">
        <f t="shared" si="1"/>
        <v>0.4508058696</v>
      </c>
      <c r="Q984" s="214" t="str">
        <f t="shared" si="2"/>
        <v>Medium</v>
      </c>
    </row>
    <row r="985" ht="15.75" customHeight="1">
      <c r="A985" s="214" t="s">
        <v>1527</v>
      </c>
      <c r="B985" s="216">
        <v>3747.0</v>
      </c>
      <c r="C985" s="216">
        <v>410.0</v>
      </c>
      <c r="D985" s="217">
        <v>5.0</v>
      </c>
      <c r="E985" s="219" t="s">
        <v>242</v>
      </c>
      <c r="F985" s="219" t="s">
        <v>317</v>
      </c>
      <c r="G985" s="214" t="s">
        <v>350</v>
      </c>
      <c r="H985" s="221">
        <v>44024.0</v>
      </c>
      <c r="I985" s="219" t="s">
        <v>1528</v>
      </c>
      <c r="J985" s="219" t="s">
        <v>271</v>
      </c>
      <c r="K985" s="219" t="s">
        <v>449</v>
      </c>
      <c r="L985" s="214" t="s">
        <v>422</v>
      </c>
      <c r="M985" s="222">
        <v>2020.0</v>
      </c>
      <c r="N985" s="214" t="s">
        <v>404</v>
      </c>
      <c r="O985" s="223">
        <v>3.0</v>
      </c>
      <c r="P985" s="224">
        <f t="shared" si="1"/>
        <v>0.10942087</v>
      </c>
      <c r="Q985" s="214" t="str">
        <f t="shared" si="2"/>
        <v>Medium</v>
      </c>
    </row>
    <row r="986" ht="15.75" customHeight="1">
      <c r="A986" s="214" t="s">
        <v>1527</v>
      </c>
      <c r="B986" s="216">
        <v>3747.0</v>
      </c>
      <c r="C986" s="216">
        <v>410.0</v>
      </c>
      <c r="D986" s="217">
        <v>5.0</v>
      </c>
      <c r="E986" s="219" t="s">
        <v>242</v>
      </c>
      <c r="F986" s="219" t="s">
        <v>317</v>
      </c>
      <c r="G986" s="214" t="s">
        <v>350</v>
      </c>
      <c r="H986" s="221">
        <v>44903.0</v>
      </c>
      <c r="I986" s="219" t="s">
        <v>1529</v>
      </c>
      <c r="J986" s="219" t="s">
        <v>223</v>
      </c>
      <c r="K986" s="219" t="s">
        <v>402</v>
      </c>
      <c r="L986" s="214" t="s">
        <v>464</v>
      </c>
      <c r="M986" s="222">
        <v>2022.0</v>
      </c>
      <c r="N986" s="214" t="s">
        <v>400</v>
      </c>
      <c r="O986" s="223">
        <v>4.0</v>
      </c>
      <c r="P986" s="224">
        <f t="shared" si="1"/>
        <v>0.10942087</v>
      </c>
      <c r="Q986" s="214" t="str">
        <f t="shared" si="2"/>
        <v>Medium</v>
      </c>
    </row>
    <row r="987" ht="15.75" customHeight="1">
      <c r="A987" s="214" t="s">
        <v>1527</v>
      </c>
      <c r="B987" s="216">
        <v>3747.0</v>
      </c>
      <c r="C987" s="216">
        <v>410.0</v>
      </c>
      <c r="D987" s="217">
        <v>5.0</v>
      </c>
      <c r="E987" s="219" t="s">
        <v>242</v>
      </c>
      <c r="F987" s="219" t="s">
        <v>317</v>
      </c>
      <c r="G987" s="214" t="s">
        <v>350</v>
      </c>
      <c r="H987" s="221">
        <v>45378.0</v>
      </c>
      <c r="I987" s="219" t="s">
        <v>1530</v>
      </c>
      <c r="J987" s="219" t="s">
        <v>313</v>
      </c>
      <c r="K987" s="219" t="s">
        <v>512</v>
      </c>
      <c r="L987" s="214" t="s">
        <v>479</v>
      </c>
      <c r="M987" s="222">
        <v>2024.0</v>
      </c>
      <c r="N987" s="214" t="s">
        <v>433</v>
      </c>
      <c r="O987" s="223">
        <v>1.0</v>
      </c>
      <c r="P987" s="224">
        <f t="shared" si="1"/>
        <v>0.10942087</v>
      </c>
      <c r="Q987" s="214" t="str">
        <f t="shared" si="2"/>
        <v>Medium</v>
      </c>
    </row>
    <row r="988" ht="15.75" customHeight="1">
      <c r="A988" s="214" t="s">
        <v>1527</v>
      </c>
      <c r="B988" s="216">
        <v>3747.0</v>
      </c>
      <c r="C988" s="216">
        <v>410.0</v>
      </c>
      <c r="D988" s="217">
        <v>5.0</v>
      </c>
      <c r="E988" s="219" t="s">
        <v>242</v>
      </c>
      <c r="F988" s="219" t="s">
        <v>317</v>
      </c>
      <c r="G988" s="214" t="s">
        <v>350</v>
      </c>
      <c r="H988" s="221">
        <v>44974.0</v>
      </c>
      <c r="I988" s="219" t="s">
        <v>1531</v>
      </c>
      <c r="J988" s="219" t="s">
        <v>271</v>
      </c>
      <c r="K988" s="219" t="s">
        <v>398</v>
      </c>
      <c r="L988" s="214" t="s">
        <v>466</v>
      </c>
      <c r="M988" s="222">
        <v>2023.0</v>
      </c>
      <c r="N988" s="214" t="s">
        <v>494</v>
      </c>
      <c r="O988" s="223">
        <v>1.0</v>
      </c>
      <c r="P988" s="224">
        <f t="shared" si="1"/>
        <v>0.10942087</v>
      </c>
      <c r="Q988" s="214" t="str">
        <f t="shared" si="2"/>
        <v>Medium</v>
      </c>
    </row>
    <row r="989" ht="15.75" customHeight="1">
      <c r="A989" s="214" t="s">
        <v>1527</v>
      </c>
      <c r="B989" s="216">
        <v>3747.0</v>
      </c>
      <c r="C989" s="216">
        <v>410.0</v>
      </c>
      <c r="D989" s="217">
        <v>5.0</v>
      </c>
      <c r="E989" s="219" t="s">
        <v>242</v>
      </c>
      <c r="F989" s="219" t="s">
        <v>317</v>
      </c>
      <c r="G989" s="214" t="s">
        <v>350</v>
      </c>
      <c r="H989" s="221">
        <v>44398.0</v>
      </c>
      <c r="I989" s="219" t="s">
        <v>1532</v>
      </c>
      <c r="J989" s="219" t="s">
        <v>117</v>
      </c>
      <c r="K989" s="219" t="s">
        <v>423</v>
      </c>
      <c r="L989" s="214" t="s">
        <v>403</v>
      </c>
      <c r="M989" s="222">
        <v>2021.0</v>
      </c>
      <c r="N989" s="214" t="s">
        <v>404</v>
      </c>
      <c r="O989" s="223">
        <v>3.0</v>
      </c>
      <c r="P989" s="224">
        <f t="shared" si="1"/>
        <v>0.10942087</v>
      </c>
      <c r="Q989" s="214" t="str">
        <f t="shared" si="2"/>
        <v>Medium</v>
      </c>
    </row>
    <row r="990" ht="15.75" customHeight="1">
      <c r="A990" s="214" t="s">
        <v>1527</v>
      </c>
      <c r="B990" s="216">
        <v>3194.0</v>
      </c>
      <c r="C990" s="216">
        <v>534.0</v>
      </c>
      <c r="D990" s="217">
        <v>4.0</v>
      </c>
      <c r="E990" s="219" t="s">
        <v>242</v>
      </c>
      <c r="F990" s="219" t="s">
        <v>362</v>
      </c>
      <c r="G990" s="214" t="s">
        <v>392</v>
      </c>
      <c r="H990" s="221">
        <v>44024.0</v>
      </c>
      <c r="I990" s="219" t="s">
        <v>1528</v>
      </c>
      <c r="J990" s="219" t="s">
        <v>271</v>
      </c>
      <c r="K990" s="219" t="s">
        <v>449</v>
      </c>
      <c r="L990" s="214" t="s">
        <v>422</v>
      </c>
      <c r="M990" s="222">
        <v>2020.0</v>
      </c>
      <c r="N990" s="214" t="s">
        <v>404</v>
      </c>
      <c r="O990" s="223">
        <v>3.0</v>
      </c>
      <c r="P990" s="224">
        <f t="shared" si="1"/>
        <v>0.1671884784</v>
      </c>
      <c r="Q990" s="214" t="str">
        <f t="shared" si="2"/>
        <v>Medium</v>
      </c>
    </row>
    <row r="991" ht="15.75" customHeight="1">
      <c r="A991" s="214" t="s">
        <v>1527</v>
      </c>
      <c r="B991" s="216">
        <v>3194.0</v>
      </c>
      <c r="C991" s="216">
        <v>534.0</v>
      </c>
      <c r="D991" s="217">
        <v>4.0</v>
      </c>
      <c r="E991" s="219" t="s">
        <v>242</v>
      </c>
      <c r="F991" s="219" t="s">
        <v>362</v>
      </c>
      <c r="G991" s="214" t="s">
        <v>392</v>
      </c>
      <c r="H991" s="221">
        <v>44903.0</v>
      </c>
      <c r="I991" s="219" t="s">
        <v>1529</v>
      </c>
      <c r="J991" s="219" t="s">
        <v>223</v>
      </c>
      <c r="K991" s="219" t="s">
        <v>402</v>
      </c>
      <c r="L991" s="214" t="s">
        <v>464</v>
      </c>
      <c r="M991" s="222">
        <v>2022.0</v>
      </c>
      <c r="N991" s="214" t="s">
        <v>400</v>
      </c>
      <c r="O991" s="223">
        <v>4.0</v>
      </c>
      <c r="P991" s="224">
        <f t="shared" si="1"/>
        <v>0.1671884784</v>
      </c>
      <c r="Q991" s="214" t="str">
        <f t="shared" si="2"/>
        <v>Medium</v>
      </c>
    </row>
    <row r="992" ht="15.75" customHeight="1">
      <c r="A992" s="214" t="s">
        <v>1527</v>
      </c>
      <c r="B992" s="216">
        <v>3194.0</v>
      </c>
      <c r="C992" s="216">
        <v>534.0</v>
      </c>
      <c r="D992" s="217">
        <v>4.0</v>
      </c>
      <c r="E992" s="219" t="s">
        <v>242</v>
      </c>
      <c r="F992" s="219" t="s">
        <v>362</v>
      </c>
      <c r="G992" s="214" t="s">
        <v>392</v>
      </c>
      <c r="H992" s="221">
        <v>45378.0</v>
      </c>
      <c r="I992" s="219" t="s">
        <v>1530</v>
      </c>
      <c r="J992" s="219" t="s">
        <v>313</v>
      </c>
      <c r="K992" s="219" t="s">
        <v>512</v>
      </c>
      <c r="L992" s="214" t="s">
        <v>479</v>
      </c>
      <c r="M992" s="222">
        <v>2024.0</v>
      </c>
      <c r="N992" s="214" t="s">
        <v>433</v>
      </c>
      <c r="O992" s="223">
        <v>1.0</v>
      </c>
      <c r="P992" s="224">
        <f t="shared" si="1"/>
        <v>0.1671884784</v>
      </c>
      <c r="Q992" s="214" t="str">
        <f t="shared" si="2"/>
        <v>Medium</v>
      </c>
    </row>
    <row r="993" ht="15.75" customHeight="1">
      <c r="A993" s="214" t="s">
        <v>1527</v>
      </c>
      <c r="B993" s="216">
        <v>3194.0</v>
      </c>
      <c r="C993" s="216">
        <v>534.0</v>
      </c>
      <c r="D993" s="217">
        <v>4.0</v>
      </c>
      <c r="E993" s="219" t="s">
        <v>242</v>
      </c>
      <c r="F993" s="219" t="s">
        <v>362</v>
      </c>
      <c r="G993" s="214" t="s">
        <v>392</v>
      </c>
      <c r="H993" s="221">
        <v>44974.0</v>
      </c>
      <c r="I993" s="219" t="s">
        <v>1531</v>
      </c>
      <c r="J993" s="219" t="s">
        <v>271</v>
      </c>
      <c r="K993" s="219" t="s">
        <v>398</v>
      </c>
      <c r="L993" s="214" t="s">
        <v>466</v>
      </c>
      <c r="M993" s="222">
        <v>2023.0</v>
      </c>
      <c r="N993" s="214" t="s">
        <v>494</v>
      </c>
      <c r="O993" s="223">
        <v>1.0</v>
      </c>
      <c r="P993" s="224">
        <f t="shared" si="1"/>
        <v>0.1671884784</v>
      </c>
      <c r="Q993" s="214" t="str">
        <f t="shared" si="2"/>
        <v>Medium</v>
      </c>
    </row>
    <row r="994" ht="15.75" customHeight="1">
      <c r="A994" s="214" t="s">
        <v>1527</v>
      </c>
      <c r="B994" s="216">
        <v>3194.0</v>
      </c>
      <c r="C994" s="216">
        <v>534.0</v>
      </c>
      <c r="D994" s="217">
        <v>4.0</v>
      </c>
      <c r="E994" s="219" t="s">
        <v>242</v>
      </c>
      <c r="F994" s="219" t="s">
        <v>362</v>
      </c>
      <c r="G994" s="214" t="s">
        <v>392</v>
      </c>
      <c r="H994" s="221">
        <v>44398.0</v>
      </c>
      <c r="I994" s="219" t="s">
        <v>1532</v>
      </c>
      <c r="J994" s="219" t="s">
        <v>117</v>
      </c>
      <c r="K994" s="219" t="s">
        <v>423</v>
      </c>
      <c r="L994" s="214" t="s">
        <v>403</v>
      </c>
      <c r="M994" s="222">
        <v>2021.0</v>
      </c>
      <c r="N994" s="214" t="s">
        <v>404</v>
      </c>
      <c r="O994" s="223">
        <v>3.0</v>
      </c>
      <c r="P994" s="224">
        <f t="shared" si="1"/>
        <v>0.1671884784</v>
      </c>
      <c r="Q994" s="214" t="str">
        <f t="shared" si="2"/>
        <v>Medium</v>
      </c>
    </row>
    <row r="995" ht="15.75" customHeight="1">
      <c r="A995" s="214" t="s">
        <v>1533</v>
      </c>
      <c r="B995" s="216">
        <v>8548.0</v>
      </c>
      <c r="C995" s="216">
        <v>2305.0</v>
      </c>
      <c r="D995" s="217">
        <v>1.0</v>
      </c>
      <c r="E995" s="219" t="s">
        <v>242</v>
      </c>
      <c r="F995" s="219" t="s">
        <v>362</v>
      </c>
      <c r="G995" s="214" t="s">
        <v>405</v>
      </c>
      <c r="H995" s="221">
        <v>44864.0</v>
      </c>
      <c r="I995" s="219" t="s">
        <v>1534</v>
      </c>
      <c r="J995" s="219" t="s">
        <v>159</v>
      </c>
      <c r="K995" s="219" t="s">
        <v>552</v>
      </c>
      <c r="L995" s="214" t="s">
        <v>463</v>
      </c>
      <c r="M995" s="222">
        <v>2022.0</v>
      </c>
      <c r="N995" s="214" t="s">
        <v>414</v>
      </c>
      <c r="O995" s="223">
        <v>4.0</v>
      </c>
      <c r="P995" s="224">
        <f t="shared" si="1"/>
        <v>0.2696537202</v>
      </c>
      <c r="Q995" s="214" t="str">
        <f t="shared" si="2"/>
        <v>High</v>
      </c>
    </row>
    <row r="996" ht="15.75" customHeight="1">
      <c r="A996" s="214" t="s">
        <v>1535</v>
      </c>
      <c r="B996" s="216">
        <v>6089.0</v>
      </c>
      <c r="C996" s="216">
        <v>139.0</v>
      </c>
      <c r="D996" s="217">
        <v>19.0</v>
      </c>
      <c r="E996" s="219" t="s">
        <v>216</v>
      </c>
      <c r="F996" s="219" t="s">
        <v>344</v>
      </c>
      <c r="G996" s="214" t="s">
        <v>351</v>
      </c>
      <c r="H996" s="221">
        <v>44196.0</v>
      </c>
      <c r="I996" s="219" t="s">
        <v>1536</v>
      </c>
      <c r="J996" s="219" t="s">
        <v>313</v>
      </c>
      <c r="K996" s="219" t="s">
        <v>518</v>
      </c>
      <c r="L996" s="214" t="s">
        <v>437</v>
      </c>
      <c r="M996" s="222">
        <v>2020.0</v>
      </c>
      <c r="N996" s="214" t="s">
        <v>400</v>
      </c>
      <c r="O996" s="223">
        <v>4.0</v>
      </c>
      <c r="P996" s="224">
        <f t="shared" si="1"/>
        <v>0.02282805058</v>
      </c>
      <c r="Q996" s="214" t="str">
        <f t="shared" si="2"/>
        <v>High</v>
      </c>
    </row>
    <row r="997" ht="15.75" customHeight="1">
      <c r="A997" s="214" t="s">
        <v>1535</v>
      </c>
      <c r="B997" s="216">
        <v>6089.0</v>
      </c>
      <c r="C997" s="216">
        <v>139.0</v>
      </c>
      <c r="D997" s="217">
        <v>19.0</v>
      </c>
      <c r="E997" s="219" t="s">
        <v>216</v>
      </c>
      <c r="F997" s="219" t="s">
        <v>344</v>
      </c>
      <c r="G997" s="214" t="s">
        <v>351</v>
      </c>
      <c r="H997" s="221">
        <v>44666.0</v>
      </c>
      <c r="I997" s="219" t="s">
        <v>1537</v>
      </c>
      <c r="J997" s="219" t="s">
        <v>313</v>
      </c>
      <c r="K997" s="219" t="s">
        <v>526</v>
      </c>
      <c r="L997" s="214" t="s">
        <v>456</v>
      </c>
      <c r="M997" s="222">
        <v>2022.0</v>
      </c>
      <c r="N997" s="214" t="s">
        <v>542</v>
      </c>
      <c r="O997" s="223">
        <v>2.0</v>
      </c>
      <c r="P997" s="224">
        <f t="shared" si="1"/>
        <v>0.02282805058</v>
      </c>
      <c r="Q997" s="214" t="str">
        <f t="shared" si="2"/>
        <v>High</v>
      </c>
    </row>
    <row r="998" ht="15.75" customHeight="1">
      <c r="A998" s="214" t="s">
        <v>1535</v>
      </c>
      <c r="B998" s="216">
        <v>6089.0</v>
      </c>
      <c r="C998" s="216">
        <v>139.0</v>
      </c>
      <c r="D998" s="217">
        <v>19.0</v>
      </c>
      <c r="E998" s="219" t="s">
        <v>216</v>
      </c>
      <c r="F998" s="219" t="s">
        <v>344</v>
      </c>
      <c r="G998" s="214" t="s">
        <v>351</v>
      </c>
      <c r="H998" s="221">
        <v>45021.0</v>
      </c>
      <c r="I998" s="219" t="s">
        <v>1538</v>
      </c>
      <c r="J998" s="219" t="s">
        <v>271</v>
      </c>
      <c r="K998" s="219" t="s">
        <v>398</v>
      </c>
      <c r="L998" s="214" t="s">
        <v>468</v>
      </c>
      <c r="M998" s="222">
        <v>2023.0</v>
      </c>
      <c r="N998" s="214" t="s">
        <v>542</v>
      </c>
      <c r="O998" s="223">
        <v>2.0</v>
      </c>
      <c r="P998" s="224">
        <f t="shared" si="1"/>
        <v>0.02282805058</v>
      </c>
      <c r="Q998" s="214" t="str">
        <f t="shared" si="2"/>
        <v>High</v>
      </c>
    </row>
    <row r="999" ht="15.75" customHeight="1">
      <c r="A999" s="214" t="s">
        <v>1535</v>
      </c>
      <c r="B999" s="216">
        <v>2586.0</v>
      </c>
      <c r="C999" s="216">
        <v>800.0</v>
      </c>
      <c r="D999" s="217">
        <v>16.0</v>
      </c>
      <c r="E999" s="219" t="s">
        <v>216</v>
      </c>
      <c r="F999" s="219" t="s">
        <v>344</v>
      </c>
      <c r="G999" s="214" t="s">
        <v>392</v>
      </c>
      <c r="H999" s="221">
        <v>44196.0</v>
      </c>
      <c r="I999" s="219" t="s">
        <v>1536</v>
      </c>
      <c r="J999" s="219" t="s">
        <v>313</v>
      </c>
      <c r="K999" s="219" t="s">
        <v>518</v>
      </c>
      <c r="L999" s="214" t="s">
        <v>437</v>
      </c>
      <c r="M999" s="222">
        <v>2020.0</v>
      </c>
      <c r="N999" s="214" t="s">
        <v>400</v>
      </c>
      <c r="O999" s="223">
        <v>4.0</v>
      </c>
      <c r="P999" s="224">
        <f t="shared" si="1"/>
        <v>0.309358082</v>
      </c>
      <c r="Q999" s="214" t="str">
        <f t="shared" si="2"/>
        <v>Medium</v>
      </c>
    </row>
    <row r="1000" ht="15.75" customHeight="1">
      <c r="A1000" s="214" t="s">
        <v>1535</v>
      </c>
      <c r="B1000" s="216">
        <v>2586.0</v>
      </c>
      <c r="C1000" s="216">
        <v>800.0</v>
      </c>
      <c r="D1000" s="217">
        <v>16.0</v>
      </c>
      <c r="E1000" s="219" t="s">
        <v>216</v>
      </c>
      <c r="F1000" s="219" t="s">
        <v>344</v>
      </c>
      <c r="G1000" s="214" t="s">
        <v>392</v>
      </c>
      <c r="H1000" s="221">
        <v>44666.0</v>
      </c>
      <c r="I1000" s="219" t="s">
        <v>1537</v>
      </c>
      <c r="J1000" s="219" t="s">
        <v>313</v>
      </c>
      <c r="K1000" s="219" t="s">
        <v>526</v>
      </c>
      <c r="L1000" s="214" t="s">
        <v>456</v>
      </c>
      <c r="M1000" s="222">
        <v>2022.0</v>
      </c>
      <c r="N1000" s="214" t="s">
        <v>542</v>
      </c>
      <c r="O1000" s="223">
        <v>2.0</v>
      </c>
      <c r="P1000" s="224">
        <f t="shared" si="1"/>
        <v>0.309358082</v>
      </c>
      <c r="Q1000" s="214" t="str">
        <f t="shared" si="2"/>
        <v>Medium</v>
      </c>
    </row>
    <row r="1001" ht="15.75" customHeight="1">
      <c r="A1001" s="214" t="s">
        <v>1535</v>
      </c>
      <c r="B1001" s="216">
        <v>2586.0</v>
      </c>
      <c r="C1001" s="216">
        <v>800.0</v>
      </c>
      <c r="D1001" s="217">
        <v>16.0</v>
      </c>
      <c r="E1001" s="219" t="s">
        <v>216</v>
      </c>
      <c r="F1001" s="219" t="s">
        <v>344</v>
      </c>
      <c r="G1001" s="214" t="s">
        <v>392</v>
      </c>
      <c r="H1001" s="221">
        <v>45021.0</v>
      </c>
      <c r="I1001" s="219" t="s">
        <v>1538</v>
      </c>
      <c r="J1001" s="219" t="s">
        <v>271</v>
      </c>
      <c r="K1001" s="219" t="s">
        <v>398</v>
      </c>
      <c r="L1001" s="214" t="s">
        <v>468</v>
      </c>
      <c r="M1001" s="222">
        <v>2023.0</v>
      </c>
      <c r="N1001" s="214" t="s">
        <v>542</v>
      </c>
      <c r="O1001" s="223">
        <v>2.0</v>
      </c>
      <c r="P1001" s="224">
        <f t="shared" si="1"/>
        <v>0.309358082</v>
      </c>
      <c r="Q1001" s="214" t="str">
        <f t="shared" si="2"/>
        <v>Medium</v>
      </c>
    </row>
    <row r="1002" ht="15.75" customHeight="1">
      <c r="A1002" s="214" t="s">
        <v>1535</v>
      </c>
      <c r="B1002" s="216">
        <v>3757.0</v>
      </c>
      <c r="C1002" s="216">
        <v>1626.0</v>
      </c>
      <c r="D1002" s="217">
        <v>9.0</v>
      </c>
      <c r="E1002" s="219" t="s">
        <v>242</v>
      </c>
      <c r="F1002" s="219" t="s">
        <v>357</v>
      </c>
      <c r="G1002" s="214" t="s">
        <v>392</v>
      </c>
      <c r="H1002" s="221">
        <v>44196.0</v>
      </c>
      <c r="I1002" s="219" t="s">
        <v>1536</v>
      </c>
      <c r="J1002" s="219" t="s">
        <v>313</v>
      </c>
      <c r="K1002" s="219" t="s">
        <v>518</v>
      </c>
      <c r="L1002" s="214" t="s">
        <v>437</v>
      </c>
      <c r="M1002" s="222">
        <v>2020.0</v>
      </c>
      <c r="N1002" s="214" t="s">
        <v>400</v>
      </c>
      <c r="O1002" s="223">
        <v>4.0</v>
      </c>
      <c r="P1002" s="224">
        <f t="shared" si="1"/>
        <v>0.4327921214</v>
      </c>
      <c r="Q1002" s="214" t="str">
        <f t="shared" si="2"/>
        <v>Medium</v>
      </c>
    </row>
    <row r="1003" ht="15.75" customHeight="1">
      <c r="A1003" s="214" t="s">
        <v>1535</v>
      </c>
      <c r="B1003" s="216">
        <v>3757.0</v>
      </c>
      <c r="C1003" s="216">
        <v>1626.0</v>
      </c>
      <c r="D1003" s="217">
        <v>9.0</v>
      </c>
      <c r="E1003" s="219" t="s">
        <v>242</v>
      </c>
      <c r="F1003" s="219" t="s">
        <v>357</v>
      </c>
      <c r="G1003" s="214" t="s">
        <v>392</v>
      </c>
      <c r="H1003" s="221">
        <v>44666.0</v>
      </c>
      <c r="I1003" s="219" t="s">
        <v>1537</v>
      </c>
      <c r="J1003" s="219" t="s">
        <v>313</v>
      </c>
      <c r="K1003" s="219" t="s">
        <v>526</v>
      </c>
      <c r="L1003" s="214" t="s">
        <v>456</v>
      </c>
      <c r="M1003" s="222">
        <v>2022.0</v>
      </c>
      <c r="N1003" s="214" t="s">
        <v>542</v>
      </c>
      <c r="O1003" s="223">
        <v>2.0</v>
      </c>
      <c r="P1003" s="224">
        <f t="shared" si="1"/>
        <v>0.4327921214</v>
      </c>
      <c r="Q1003" s="214" t="str">
        <f t="shared" si="2"/>
        <v>Medium</v>
      </c>
    </row>
    <row r="1004" ht="15.75" customHeight="1">
      <c r="A1004" s="214" t="s">
        <v>1535</v>
      </c>
      <c r="B1004" s="216">
        <v>3757.0</v>
      </c>
      <c r="C1004" s="216">
        <v>1626.0</v>
      </c>
      <c r="D1004" s="217">
        <v>9.0</v>
      </c>
      <c r="E1004" s="219" t="s">
        <v>242</v>
      </c>
      <c r="F1004" s="219" t="s">
        <v>357</v>
      </c>
      <c r="G1004" s="214" t="s">
        <v>392</v>
      </c>
      <c r="H1004" s="221">
        <v>45021.0</v>
      </c>
      <c r="I1004" s="219" t="s">
        <v>1538</v>
      </c>
      <c r="J1004" s="219" t="s">
        <v>271</v>
      </c>
      <c r="K1004" s="219" t="s">
        <v>398</v>
      </c>
      <c r="L1004" s="214" t="s">
        <v>468</v>
      </c>
      <c r="M1004" s="222">
        <v>2023.0</v>
      </c>
      <c r="N1004" s="214" t="s">
        <v>542</v>
      </c>
      <c r="O1004" s="223">
        <v>2.0</v>
      </c>
      <c r="P1004" s="224">
        <f t="shared" si="1"/>
        <v>0.4327921214</v>
      </c>
      <c r="Q1004" s="214" t="str">
        <f t="shared" si="2"/>
        <v>Medium</v>
      </c>
    </row>
    <row r="1005" ht="15.75" customHeight="1">
      <c r="A1005" s="214" t="s">
        <v>1539</v>
      </c>
      <c r="B1005" s="216">
        <v>5193.0</v>
      </c>
      <c r="C1005" s="216">
        <v>2530.0</v>
      </c>
      <c r="D1005" s="217">
        <v>5.0</v>
      </c>
      <c r="E1005" s="219" t="s">
        <v>216</v>
      </c>
      <c r="F1005" s="219" t="s">
        <v>347</v>
      </c>
      <c r="G1005" s="214" t="s">
        <v>351</v>
      </c>
      <c r="H1005" s="221">
        <v>44498.0</v>
      </c>
      <c r="I1005" s="219" t="s">
        <v>1540</v>
      </c>
      <c r="J1005" s="219" t="s">
        <v>117</v>
      </c>
      <c r="K1005" s="219" t="s">
        <v>496</v>
      </c>
      <c r="L1005" s="214" t="s">
        <v>413</v>
      </c>
      <c r="M1005" s="222">
        <v>2021.0</v>
      </c>
      <c r="N1005" s="214" t="s">
        <v>414</v>
      </c>
      <c r="O1005" s="223">
        <v>4.0</v>
      </c>
      <c r="P1005" s="224">
        <f t="shared" si="1"/>
        <v>0.4871943</v>
      </c>
      <c r="Q1005" s="214" t="str">
        <f t="shared" si="2"/>
        <v>High</v>
      </c>
    </row>
    <row r="1006" ht="15.75" customHeight="1">
      <c r="A1006" s="214" t="s">
        <v>1539</v>
      </c>
      <c r="B1006" s="216">
        <v>5193.0</v>
      </c>
      <c r="C1006" s="216">
        <v>2530.0</v>
      </c>
      <c r="D1006" s="217">
        <v>5.0</v>
      </c>
      <c r="E1006" s="219" t="s">
        <v>216</v>
      </c>
      <c r="F1006" s="219" t="s">
        <v>347</v>
      </c>
      <c r="G1006" s="214" t="s">
        <v>351</v>
      </c>
      <c r="H1006" s="221">
        <v>45655.0</v>
      </c>
      <c r="I1006" s="219" t="s">
        <v>1541</v>
      </c>
      <c r="J1006" s="219" t="s">
        <v>159</v>
      </c>
      <c r="K1006" s="219" t="s">
        <v>394</v>
      </c>
      <c r="L1006" s="214" t="s">
        <v>399</v>
      </c>
      <c r="M1006" s="222">
        <v>2024.0</v>
      </c>
      <c r="N1006" s="214" t="s">
        <v>400</v>
      </c>
      <c r="O1006" s="223">
        <v>4.0</v>
      </c>
      <c r="P1006" s="224">
        <f t="shared" si="1"/>
        <v>0.4871943</v>
      </c>
      <c r="Q1006" s="214" t="str">
        <f t="shared" si="2"/>
        <v>High</v>
      </c>
    </row>
    <row r="1007" ht="15.75" customHeight="1">
      <c r="A1007" s="214" t="s">
        <v>1542</v>
      </c>
      <c r="B1007" s="216">
        <v>7493.0</v>
      </c>
      <c r="C1007" s="216">
        <v>96.0</v>
      </c>
      <c r="D1007" s="217">
        <v>3.0</v>
      </c>
      <c r="E1007" s="219" t="s">
        <v>157</v>
      </c>
      <c r="F1007" s="219" t="s">
        <v>355</v>
      </c>
      <c r="G1007" s="214" t="s">
        <v>392</v>
      </c>
      <c r="H1007" s="221">
        <v>44054.0</v>
      </c>
      <c r="I1007" s="219" t="s">
        <v>1543</v>
      </c>
      <c r="J1007" s="219" t="s">
        <v>313</v>
      </c>
      <c r="K1007" s="219" t="s">
        <v>526</v>
      </c>
      <c r="L1007" s="214" t="s">
        <v>431</v>
      </c>
      <c r="M1007" s="222">
        <v>2020.0</v>
      </c>
      <c r="N1007" s="214" t="s">
        <v>523</v>
      </c>
      <c r="O1007" s="223">
        <v>3.0</v>
      </c>
      <c r="P1007" s="224">
        <f t="shared" si="1"/>
        <v>0.01281195783</v>
      </c>
      <c r="Q1007" s="214" t="str">
        <f t="shared" si="2"/>
        <v>High</v>
      </c>
    </row>
    <row r="1008" ht="15.75" customHeight="1">
      <c r="A1008" s="214" t="s">
        <v>1544</v>
      </c>
      <c r="B1008" s="216">
        <v>2062.0</v>
      </c>
      <c r="C1008" s="216">
        <v>848.0</v>
      </c>
      <c r="D1008" s="217">
        <v>6.0</v>
      </c>
      <c r="E1008" s="219" t="s">
        <v>242</v>
      </c>
      <c r="F1008" s="219" t="s">
        <v>317</v>
      </c>
      <c r="G1008" s="214" t="s">
        <v>350</v>
      </c>
      <c r="H1008" s="221">
        <v>45355.0</v>
      </c>
      <c r="I1008" s="219" t="s">
        <v>1545</v>
      </c>
      <c r="J1008" s="219" t="s">
        <v>159</v>
      </c>
      <c r="K1008" s="219" t="s">
        <v>552</v>
      </c>
      <c r="L1008" s="214" t="s">
        <v>479</v>
      </c>
      <c r="M1008" s="222">
        <v>2024.0</v>
      </c>
      <c r="N1008" s="214" t="s">
        <v>433</v>
      </c>
      <c r="O1008" s="223">
        <v>1.0</v>
      </c>
      <c r="P1008" s="224">
        <f t="shared" si="1"/>
        <v>0.4112512124</v>
      </c>
      <c r="Q1008" s="214" t="str">
        <f t="shared" si="2"/>
        <v>Medium</v>
      </c>
    </row>
    <row r="1009" ht="15.75" customHeight="1">
      <c r="A1009" s="214" t="s">
        <v>1546</v>
      </c>
      <c r="B1009" s="216">
        <v>7163.0</v>
      </c>
      <c r="C1009" s="216">
        <v>1536.0</v>
      </c>
      <c r="D1009" s="217">
        <v>1.0</v>
      </c>
      <c r="E1009" s="219" t="s">
        <v>157</v>
      </c>
      <c r="F1009" s="219" t="s">
        <v>358</v>
      </c>
      <c r="G1009" s="214" t="s">
        <v>406</v>
      </c>
      <c r="H1009" s="221">
        <v>45216.0</v>
      </c>
      <c r="I1009" s="219" t="s">
        <v>1547</v>
      </c>
      <c r="J1009" s="219" t="s">
        <v>117</v>
      </c>
      <c r="K1009" s="219" t="s">
        <v>496</v>
      </c>
      <c r="L1009" s="214" t="s">
        <v>475</v>
      </c>
      <c r="M1009" s="222">
        <v>2023.0</v>
      </c>
      <c r="N1009" s="214" t="s">
        <v>414</v>
      </c>
      <c r="O1009" s="223">
        <v>4.0</v>
      </c>
      <c r="P1009" s="224">
        <f t="shared" si="1"/>
        <v>0.2144352925</v>
      </c>
      <c r="Q1009" s="214" t="str">
        <f t="shared" si="2"/>
        <v>High</v>
      </c>
    </row>
    <row r="1010" ht="15.75" customHeight="1">
      <c r="A1010" s="214" t="s">
        <v>1548</v>
      </c>
      <c r="B1010" s="216">
        <v>4026.0</v>
      </c>
      <c r="C1010" s="216">
        <v>163.0</v>
      </c>
      <c r="D1010" s="217">
        <v>6.0</v>
      </c>
      <c r="E1010" s="219" t="s">
        <v>157</v>
      </c>
      <c r="F1010" s="219" t="s">
        <v>358</v>
      </c>
      <c r="G1010" s="214" t="s">
        <v>405</v>
      </c>
      <c r="H1010" s="221">
        <v>45135.0</v>
      </c>
      <c r="I1010" s="219" t="s">
        <v>1549</v>
      </c>
      <c r="J1010" s="219" t="s">
        <v>223</v>
      </c>
      <c r="K1010" s="219" t="s">
        <v>428</v>
      </c>
      <c r="L1010" s="214" t="s">
        <v>471</v>
      </c>
      <c r="M1010" s="222">
        <v>2023.0</v>
      </c>
      <c r="N1010" s="214" t="s">
        <v>404</v>
      </c>
      <c r="O1010" s="223">
        <v>3.0</v>
      </c>
      <c r="P1010" s="224">
        <f t="shared" si="1"/>
        <v>0.04048683557</v>
      </c>
      <c r="Q1010" s="214" t="str">
        <f t="shared" si="2"/>
        <v>Medium</v>
      </c>
    </row>
    <row r="1011" ht="15.75" customHeight="1">
      <c r="A1011" s="214" t="s">
        <v>1550</v>
      </c>
      <c r="B1011" s="216">
        <v>1894.0</v>
      </c>
      <c r="C1011" s="216">
        <v>275.0</v>
      </c>
      <c r="D1011" s="217">
        <v>5.0</v>
      </c>
      <c r="E1011" s="219" t="s">
        <v>216</v>
      </c>
      <c r="F1011" s="219" t="s">
        <v>359</v>
      </c>
      <c r="G1011" s="214" t="s">
        <v>350</v>
      </c>
      <c r="H1011" s="221">
        <v>44527.0</v>
      </c>
      <c r="I1011" s="219" t="s">
        <v>1551</v>
      </c>
      <c r="J1011" s="219" t="s">
        <v>159</v>
      </c>
      <c r="K1011" s="219" t="s">
        <v>394</v>
      </c>
      <c r="L1011" s="214" t="s">
        <v>451</v>
      </c>
      <c r="M1011" s="222">
        <v>2021.0</v>
      </c>
      <c r="N1011" s="214" t="s">
        <v>425</v>
      </c>
      <c r="O1011" s="223">
        <v>4.0</v>
      </c>
      <c r="P1011" s="224">
        <f t="shared" si="1"/>
        <v>0.1451953537</v>
      </c>
      <c r="Q1011" s="214" t="str">
        <f t="shared" si="2"/>
        <v>Medium</v>
      </c>
    </row>
    <row r="1012" ht="15.75" customHeight="1">
      <c r="A1012" s="214" t="s">
        <v>1550</v>
      </c>
      <c r="B1012" s="216">
        <v>7144.0</v>
      </c>
      <c r="C1012" s="216">
        <v>192.0</v>
      </c>
      <c r="D1012" s="217">
        <v>13.0</v>
      </c>
      <c r="E1012" s="219" t="s">
        <v>157</v>
      </c>
      <c r="F1012" s="219" t="s">
        <v>355</v>
      </c>
      <c r="G1012" s="214" t="s">
        <v>350</v>
      </c>
      <c r="H1012" s="221">
        <v>44527.0</v>
      </c>
      <c r="I1012" s="219" t="s">
        <v>1551</v>
      </c>
      <c r="J1012" s="219" t="s">
        <v>159</v>
      </c>
      <c r="K1012" s="219" t="s">
        <v>394</v>
      </c>
      <c r="L1012" s="214" t="s">
        <v>451</v>
      </c>
      <c r="M1012" s="222">
        <v>2021.0</v>
      </c>
      <c r="N1012" s="214" t="s">
        <v>425</v>
      </c>
      <c r="O1012" s="223">
        <v>4.0</v>
      </c>
      <c r="P1012" s="224">
        <f t="shared" si="1"/>
        <v>0.02687569989</v>
      </c>
      <c r="Q1012" s="214" t="str">
        <f t="shared" si="2"/>
        <v>High</v>
      </c>
    </row>
    <row r="1013" ht="15.75" customHeight="1">
      <c r="A1013" s="214" t="s">
        <v>1552</v>
      </c>
      <c r="B1013" s="216">
        <v>3482.0</v>
      </c>
      <c r="C1013" s="216">
        <v>1554.0</v>
      </c>
      <c r="D1013" s="217">
        <v>15.0</v>
      </c>
      <c r="E1013" s="219" t="s">
        <v>157</v>
      </c>
      <c r="F1013" s="219" t="s">
        <v>360</v>
      </c>
      <c r="G1013" s="214" t="s">
        <v>351</v>
      </c>
      <c r="H1013" s="221">
        <v>44083.0</v>
      </c>
      <c r="I1013" s="219" t="s">
        <v>1553</v>
      </c>
      <c r="J1013" s="219" t="s">
        <v>313</v>
      </c>
      <c r="K1013" s="219" t="s">
        <v>512</v>
      </c>
      <c r="L1013" s="214" t="s">
        <v>434</v>
      </c>
      <c r="M1013" s="222">
        <v>2020.0</v>
      </c>
      <c r="N1013" s="214" t="s">
        <v>536</v>
      </c>
      <c r="O1013" s="223">
        <v>3.0</v>
      </c>
      <c r="P1013" s="224">
        <f t="shared" si="1"/>
        <v>0.4462952326</v>
      </c>
      <c r="Q1013" s="214" t="str">
        <f t="shared" si="2"/>
        <v>Medium</v>
      </c>
    </row>
    <row r="1014" ht="15.75" customHeight="1">
      <c r="A1014" s="214" t="s">
        <v>1554</v>
      </c>
      <c r="B1014" s="216">
        <v>4172.0</v>
      </c>
      <c r="C1014" s="216">
        <v>235.0</v>
      </c>
      <c r="D1014" s="217">
        <v>5.0</v>
      </c>
      <c r="E1014" s="219" t="s">
        <v>242</v>
      </c>
      <c r="F1014" s="219" t="s">
        <v>357</v>
      </c>
      <c r="G1014" s="214" t="s">
        <v>406</v>
      </c>
      <c r="H1014" s="221">
        <v>44349.0</v>
      </c>
      <c r="I1014" s="219" t="s">
        <v>1555</v>
      </c>
      <c r="J1014" s="219" t="s">
        <v>313</v>
      </c>
      <c r="K1014" s="219" t="s">
        <v>526</v>
      </c>
      <c r="L1014" s="214" t="s">
        <v>444</v>
      </c>
      <c r="M1014" s="222">
        <v>2021.0</v>
      </c>
      <c r="N1014" s="214" t="s">
        <v>396</v>
      </c>
      <c r="O1014" s="223">
        <v>2.0</v>
      </c>
      <c r="P1014" s="224">
        <f t="shared" si="1"/>
        <v>0.05632790029</v>
      </c>
      <c r="Q1014" s="214" t="str">
        <f t="shared" si="2"/>
        <v>Medium</v>
      </c>
    </row>
    <row r="1015" ht="15.75" customHeight="1">
      <c r="A1015" s="214" t="s">
        <v>1554</v>
      </c>
      <c r="B1015" s="216">
        <v>4172.0</v>
      </c>
      <c r="C1015" s="216">
        <v>235.0</v>
      </c>
      <c r="D1015" s="217">
        <v>5.0</v>
      </c>
      <c r="E1015" s="219" t="s">
        <v>242</v>
      </c>
      <c r="F1015" s="219" t="s">
        <v>357</v>
      </c>
      <c r="G1015" s="214" t="s">
        <v>406</v>
      </c>
      <c r="H1015" s="221">
        <v>44795.0</v>
      </c>
      <c r="I1015" s="219" t="s">
        <v>1556</v>
      </c>
      <c r="J1015" s="219" t="s">
        <v>159</v>
      </c>
      <c r="K1015" s="219" t="s">
        <v>409</v>
      </c>
      <c r="L1015" s="214" t="s">
        <v>461</v>
      </c>
      <c r="M1015" s="222">
        <v>2022.0</v>
      </c>
      <c r="N1015" s="214" t="s">
        <v>523</v>
      </c>
      <c r="O1015" s="223">
        <v>3.0</v>
      </c>
      <c r="P1015" s="224">
        <f t="shared" si="1"/>
        <v>0.05632790029</v>
      </c>
      <c r="Q1015" s="214" t="str">
        <f t="shared" si="2"/>
        <v>Medium</v>
      </c>
    </row>
    <row r="1016" ht="15.75" customHeight="1">
      <c r="A1016" s="214" t="s">
        <v>1554</v>
      </c>
      <c r="B1016" s="216">
        <v>4172.0</v>
      </c>
      <c r="C1016" s="216">
        <v>235.0</v>
      </c>
      <c r="D1016" s="217">
        <v>5.0</v>
      </c>
      <c r="E1016" s="219" t="s">
        <v>242</v>
      </c>
      <c r="F1016" s="219" t="s">
        <v>357</v>
      </c>
      <c r="G1016" s="214" t="s">
        <v>406</v>
      </c>
      <c r="H1016" s="221">
        <v>45398.0</v>
      </c>
      <c r="I1016" s="219" t="s">
        <v>1557</v>
      </c>
      <c r="J1016" s="219" t="s">
        <v>271</v>
      </c>
      <c r="K1016" s="219" t="s">
        <v>449</v>
      </c>
      <c r="L1016" s="214" t="s">
        <v>480</v>
      </c>
      <c r="M1016" s="222">
        <v>2024.0</v>
      </c>
      <c r="N1016" s="214" t="s">
        <v>542</v>
      </c>
      <c r="O1016" s="223">
        <v>2.0</v>
      </c>
      <c r="P1016" s="224">
        <f t="shared" si="1"/>
        <v>0.05632790029</v>
      </c>
      <c r="Q1016" s="214" t="str">
        <f t="shared" si="2"/>
        <v>Medium</v>
      </c>
    </row>
    <row r="1017" ht="15.75" customHeight="1">
      <c r="A1017" s="214" t="s">
        <v>1558</v>
      </c>
      <c r="B1017" s="216">
        <v>6265.0</v>
      </c>
      <c r="C1017" s="216">
        <v>155.0</v>
      </c>
      <c r="D1017" s="217">
        <v>8.0</v>
      </c>
      <c r="E1017" s="219" t="s">
        <v>216</v>
      </c>
      <c r="F1017" s="219" t="s">
        <v>347</v>
      </c>
      <c r="G1017" s="214" t="s">
        <v>405</v>
      </c>
      <c r="H1017" s="221">
        <v>44796.0</v>
      </c>
      <c r="I1017" s="219" t="s">
        <v>1559</v>
      </c>
      <c r="J1017" s="219" t="s">
        <v>313</v>
      </c>
      <c r="K1017" s="219" t="s">
        <v>518</v>
      </c>
      <c r="L1017" s="214" t="s">
        <v>461</v>
      </c>
      <c r="M1017" s="222">
        <v>2022.0</v>
      </c>
      <c r="N1017" s="214" t="s">
        <v>523</v>
      </c>
      <c r="O1017" s="223">
        <v>3.0</v>
      </c>
      <c r="P1017" s="224">
        <f t="shared" si="1"/>
        <v>0.02474062251</v>
      </c>
      <c r="Q1017" s="214" t="str">
        <f t="shared" si="2"/>
        <v>High</v>
      </c>
    </row>
    <row r="1018" ht="15.75" customHeight="1">
      <c r="A1018" s="214" t="s">
        <v>1558</v>
      </c>
      <c r="B1018" s="216">
        <v>6265.0</v>
      </c>
      <c r="C1018" s="216">
        <v>155.0</v>
      </c>
      <c r="D1018" s="217">
        <v>8.0</v>
      </c>
      <c r="E1018" s="219" t="s">
        <v>216</v>
      </c>
      <c r="F1018" s="219" t="s">
        <v>347</v>
      </c>
      <c r="G1018" s="214" t="s">
        <v>405</v>
      </c>
      <c r="H1018" s="221">
        <v>44267.0</v>
      </c>
      <c r="I1018" s="219" t="s">
        <v>1560</v>
      </c>
      <c r="J1018" s="219" t="s">
        <v>313</v>
      </c>
      <c r="K1018" s="219" t="s">
        <v>526</v>
      </c>
      <c r="L1018" s="214" t="s">
        <v>440</v>
      </c>
      <c r="M1018" s="222">
        <v>2021.0</v>
      </c>
      <c r="N1018" s="214" t="s">
        <v>433</v>
      </c>
      <c r="O1018" s="223">
        <v>1.0</v>
      </c>
      <c r="P1018" s="224">
        <f t="shared" si="1"/>
        <v>0.02474062251</v>
      </c>
      <c r="Q1018" s="214" t="str">
        <f t="shared" si="2"/>
        <v>High</v>
      </c>
    </row>
    <row r="1019" ht="15.75" customHeight="1">
      <c r="A1019" s="214" t="s">
        <v>1561</v>
      </c>
      <c r="B1019" s="216">
        <v>2931.0</v>
      </c>
      <c r="C1019" s="216">
        <v>212.0</v>
      </c>
      <c r="D1019" s="217">
        <v>7.0</v>
      </c>
      <c r="E1019" s="219" t="s">
        <v>157</v>
      </c>
      <c r="F1019" s="219" t="s">
        <v>355</v>
      </c>
      <c r="G1019" s="214" t="s">
        <v>350</v>
      </c>
      <c r="H1019" s="221">
        <v>45469.0</v>
      </c>
      <c r="I1019" s="219" t="s">
        <v>1562</v>
      </c>
      <c r="J1019" s="219" t="s">
        <v>271</v>
      </c>
      <c r="K1019" s="219" t="s">
        <v>568</v>
      </c>
      <c r="L1019" s="214" t="s">
        <v>481</v>
      </c>
      <c r="M1019" s="222">
        <v>2024.0</v>
      </c>
      <c r="N1019" s="214" t="s">
        <v>396</v>
      </c>
      <c r="O1019" s="223">
        <v>2.0</v>
      </c>
      <c r="P1019" s="224">
        <f t="shared" si="1"/>
        <v>0.07233026271</v>
      </c>
      <c r="Q1019" s="214" t="str">
        <f t="shared" si="2"/>
        <v>Medium</v>
      </c>
    </row>
    <row r="1020" ht="15.75" customHeight="1">
      <c r="A1020" s="214" t="s">
        <v>1561</v>
      </c>
      <c r="B1020" s="216">
        <v>2931.0</v>
      </c>
      <c r="C1020" s="216">
        <v>212.0</v>
      </c>
      <c r="D1020" s="217">
        <v>7.0</v>
      </c>
      <c r="E1020" s="219" t="s">
        <v>157</v>
      </c>
      <c r="F1020" s="219" t="s">
        <v>355</v>
      </c>
      <c r="G1020" s="214" t="s">
        <v>350</v>
      </c>
      <c r="H1020" s="221">
        <v>45268.0</v>
      </c>
      <c r="I1020" s="219" t="s">
        <v>1563</v>
      </c>
      <c r="J1020" s="219" t="s">
        <v>159</v>
      </c>
      <c r="K1020" s="219" t="s">
        <v>552</v>
      </c>
      <c r="L1020" s="214" t="s">
        <v>476</v>
      </c>
      <c r="M1020" s="222">
        <v>2023.0</v>
      </c>
      <c r="N1020" s="214" t="s">
        <v>400</v>
      </c>
      <c r="O1020" s="223">
        <v>4.0</v>
      </c>
      <c r="P1020" s="224">
        <f t="shared" si="1"/>
        <v>0.07233026271</v>
      </c>
      <c r="Q1020" s="214" t="str">
        <f t="shared" si="2"/>
        <v>Medium</v>
      </c>
    </row>
    <row r="1021" ht="15.75" customHeight="1">
      <c r="A1021" s="214" t="s">
        <v>1564</v>
      </c>
      <c r="B1021" s="216">
        <v>1146.0</v>
      </c>
      <c r="C1021" s="216">
        <v>188.0</v>
      </c>
      <c r="D1021" s="217">
        <v>9.0</v>
      </c>
      <c r="E1021" s="219" t="s">
        <v>216</v>
      </c>
      <c r="F1021" s="219" t="s">
        <v>359</v>
      </c>
      <c r="G1021" s="214" t="s">
        <v>351</v>
      </c>
      <c r="H1021" s="221">
        <v>45623.0</v>
      </c>
      <c r="I1021" s="219" t="s">
        <v>1565</v>
      </c>
      <c r="J1021" s="219" t="s">
        <v>159</v>
      </c>
      <c r="K1021" s="219" t="s">
        <v>552</v>
      </c>
      <c r="L1021" s="214" t="s">
        <v>486</v>
      </c>
      <c r="M1021" s="222">
        <v>2024.0</v>
      </c>
      <c r="N1021" s="214" t="s">
        <v>425</v>
      </c>
      <c r="O1021" s="223">
        <v>4.0</v>
      </c>
      <c r="P1021" s="224">
        <f t="shared" si="1"/>
        <v>0.1640488656</v>
      </c>
      <c r="Q1021" s="214" t="str">
        <f t="shared" si="2"/>
        <v>Medium</v>
      </c>
    </row>
    <row r="1022" ht="15.75" customHeight="1">
      <c r="A1022" s="214" t="s">
        <v>1566</v>
      </c>
      <c r="B1022" s="216">
        <v>9215.0</v>
      </c>
      <c r="C1022" s="216">
        <v>767.0</v>
      </c>
      <c r="D1022" s="217">
        <v>13.0</v>
      </c>
      <c r="E1022" s="219" t="s">
        <v>157</v>
      </c>
      <c r="F1022" s="219" t="s">
        <v>354</v>
      </c>
      <c r="G1022" s="214" t="s">
        <v>405</v>
      </c>
      <c r="H1022" s="221">
        <v>44571.0</v>
      </c>
      <c r="I1022" s="219" t="s">
        <v>1567</v>
      </c>
      <c r="J1022" s="219" t="s">
        <v>159</v>
      </c>
      <c r="K1022" s="219" t="s">
        <v>552</v>
      </c>
      <c r="L1022" s="214" t="s">
        <v>453</v>
      </c>
      <c r="M1022" s="222">
        <v>2022.0</v>
      </c>
      <c r="N1022" s="214" t="s">
        <v>497</v>
      </c>
      <c r="O1022" s="223">
        <v>1.0</v>
      </c>
      <c r="P1022" s="224">
        <f t="shared" si="1"/>
        <v>0.08323385784</v>
      </c>
      <c r="Q1022" s="214" t="str">
        <f t="shared" si="2"/>
        <v>High</v>
      </c>
    </row>
    <row r="1023" ht="15.75" customHeight="1">
      <c r="A1023" s="214" t="s">
        <v>1566</v>
      </c>
      <c r="B1023" s="216">
        <v>9215.0</v>
      </c>
      <c r="C1023" s="216">
        <v>767.0</v>
      </c>
      <c r="D1023" s="217">
        <v>13.0</v>
      </c>
      <c r="E1023" s="219" t="s">
        <v>157</v>
      </c>
      <c r="F1023" s="219" t="s">
        <v>354</v>
      </c>
      <c r="G1023" s="214" t="s">
        <v>405</v>
      </c>
      <c r="H1023" s="221">
        <v>44501.0</v>
      </c>
      <c r="I1023" s="219" t="s">
        <v>1568</v>
      </c>
      <c r="J1023" s="219" t="s">
        <v>117</v>
      </c>
      <c r="K1023" s="219" t="s">
        <v>508</v>
      </c>
      <c r="L1023" s="214" t="s">
        <v>451</v>
      </c>
      <c r="M1023" s="222">
        <v>2021.0</v>
      </c>
      <c r="N1023" s="214" t="s">
        <v>425</v>
      </c>
      <c r="O1023" s="223">
        <v>4.0</v>
      </c>
      <c r="P1023" s="224">
        <f t="shared" si="1"/>
        <v>0.08323385784</v>
      </c>
      <c r="Q1023" s="214" t="str">
        <f t="shared" si="2"/>
        <v>High</v>
      </c>
    </row>
    <row r="1024" ht="15.75" customHeight="1">
      <c r="A1024" s="214" t="s">
        <v>1569</v>
      </c>
      <c r="B1024" s="216">
        <v>7895.0</v>
      </c>
      <c r="C1024" s="216">
        <v>1005.0</v>
      </c>
      <c r="D1024" s="217">
        <v>1.0</v>
      </c>
      <c r="E1024" s="219" t="s">
        <v>216</v>
      </c>
      <c r="F1024" s="219" t="s">
        <v>359</v>
      </c>
      <c r="G1024" s="214" t="s">
        <v>350</v>
      </c>
      <c r="H1024" s="221">
        <v>45227.0</v>
      </c>
      <c r="I1024" s="219" t="s">
        <v>1570</v>
      </c>
      <c r="J1024" s="219" t="s">
        <v>313</v>
      </c>
      <c r="K1024" s="219" t="s">
        <v>518</v>
      </c>
      <c r="L1024" s="214" t="s">
        <v>475</v>
      </c>
      <c r="M1024" s="222">
        <v>2023.0</v>
      </c>
      <c r="N1024" s="214" t="s">
        <v>414</v>
      </c>
      <c r="O1024" s="223">
        <v>4.0</v>
      </c>
      <c r="P1024" s="224">
        <f t="shared" si="1"/>
        <v>0.1272957568</v>
      </c>
      <c r="Q1024" s="214" t="str">
        <f t="shared" si="2"/>
        <v>High</v>
      </c>
    </row>
    <row r="1025" ht="15.75" customHeight="1">
      <c r="A1025" s="214" t="s">
        <v>1569</v>
      </c>
      <c r="B1025" s="216">
        <v>7895.0</v>
      </c>
      <c r="C1025" s="216">
        <v>1005.0</v>
      </c>
      <c r="D1025" s="217">
        <v>1.0</v>
      </c>
      <c r="E1025" s="219" t="s">
        <v>216</v>
      </c>
      <c r="F1025" s="219" t="s">
        <v>359</v>
      </c>
      <c r="G1025" s="214" t="s">
        <v>350</v>
      </c>
      <c r="H1025" s="221">
        <v>45717.0</v>
      </c>
      <c r="I1025" s="219" t="s">
        <v>1571</v>
      </c>
      <c r="J1025" s="219" t="s">
        <v>117</v>
      </c>
      <c r="K1025" s="219" t="s">
        <v>496</v>
      </c>
      <c r="L1025" s="214" t="s">
        <v>489</v>
      </c>
      <c r="M1025" s="222">
        <v>2025.0</v>
      </c>
      <c r="N1025" s="214" t="s">
        <v>433</v>
      </c>
      <c r="O1025" s="223">
        <v>1.0</v>
      </c>
      <c r="P1025" s="224">
        <f t="shared" si="1"/>
        <v>0.1272957568</v>
      </c>
      <c r="Q1025" s="214" t="str">
        <f t="shared" si="2"/>
        <v>High</v>
      </c>
    </row>
    <row r="1026" ht="15.75" customHeight="1">
      <c r="A1026" s="214" t="s">
        <v>1569</v>
      </c>
      <c r="B1026" s="216">
        <v>2740.0</v>
      </c>
      <c r="C1026" s="216">
        <v>558.0</v>
      </c>
      <c r="D1026" s="217">
        <v>8.0</v>
      </c>
      <c r="E1026" s="219" t="s">
        <v>242</v>
      </c>
      <c r="F1026" s="219" t="s">
        <v>356</v>
      </c>
      <c r="G1026" s="214" t="s">
        <v>392</v>
      </c>
      <c r="H1026" s="221">
        <v>45227.0</v>
      </c>
      <c r="I1026" s="219" t="s">
        <v>1570</v>
      </c>
      <c r="J1026" s="219" t="s">
        <v>313</v>
      </c>
      <c r="K1026" s="219" t="s">
        <v>518</v>
      </c>
      <c r="L1026" s="214" t="s">
        <v>475</v>
      </c>
      <c r="M1026" s="222">
        <v>2023.0</v>
      </c>
      <c r="N1026" s="214" t="s">
        <v>414</v>
      </c>
      <c r="O1026" s="223">
        <v>4.0</v>
      </c>
      <c r="P1026" s="224">
        <f t="shared" si="1"/>
        <v>0.203649635</v>
      </c>
      <c r="Q1026" s="214" t="str">
        <f t="shared" si="2"/>
        <v>Medium</v>
      </c>
    </row>
    <row r="1027" ht="15.75" customHeight="1">
      <c r="A1027" s="214" t="s">
        <v>1569</v>
      </c>
      <c r="B1027" s="216">
        <v>2740.0</v>
      </c>
      <c r="C1027" s="216">
        <v>558.0</v>
      </c>
      <c r="D1027" s="217">
        <v>8.0</v>
      </c>
      <c r="E1027" s="219" t="s">
        <v>242</v>
      </c>
      <c r="F1027" s="219" t="s">
        <v>356</v>
      </c>
      <c r="G1027" s="214" t="s">
        <v>392</v>
      </c>
      <c r="H1027" s="221">
        <v>45717.0</v>
      </c>
      <c r="I1027" s="219" t="s">
        <v>1571</v>
      </c>
      <c r="J1027" s="219" t="s">
        <v>117</v>
      </c>
      <c r="K1027" s="219" t="s">
        <v>496</v>
      </c>
      <c r="L1027" s="214" t="s">
        <v>489</v>
      </c>
      <c r="M1027" s="222">
        <v>2025.0</v>
      </c>
      <c r="N1027" s="214" t="s">
        <v>433</v>
      </c>
      <c r="O1027" s="223">
        <v>1.0</v>
      </c>
      <c r="P1027" s="224">
        <f t="shared" si="1"/>
        <v>0.203649635</v>
      </c>
      <c r="Q1027" s="214" t="str">
        <f t="shared" si="2"/>
        <v>Medium</v>
      </c>
    </row>
    <row r="1028" ht="15.75" customHeight="1">
      <c r="A1028" s="214" t="s">
        <v>1572</v>
      </c>
      <c r="B1028" s="216">
        <v>5338.0</v>
      </c>
      <c r="C1028" s="216">
        <v>1354.0</v>
      </c>
      <c r="D1028" s="217">
        <v>16.0</v>
      </c>
      <c r="E1028" s="219" t="s">
        <v>242</v>
      </c>
      <c r="F1028" s="219" t="s">
        <v>317</v>
      </c>
      <c r="G1028" s="214" t="s">
        <v>392</v>
      </c>
      <c r="H1028" s="221">
        <v>45505.0</v>
      </c>
      <c r="I1028" s="219" t="s">
        <v>1573</v>
      </c>
      <c r="J1028" s="219" t="s">
        <v>271</v>
      </c>
      <c r="K1028" s="219" t="s">
        <v>568</v>
      </c>
      <c r="L1028" s="214" t="s">
        <v>483</v>
      </c>
      <c r="M1028" s="222">
        <v>2024.0</v>
      </c>
      <c r="N1028" s="214" t="s">
        <v>523</v>
      </c>
      <c r="O1028" s="223">
        <v>3.0</v>
      </c>
      <c r="P1028" s="224">
        <f t="shared" si="1"/>
        <v>0.2536530536</v>
      </c>
      <c r="Q1028" s="214" t="str">
        <f t="shared" si="2"/>
        <v>High</v>
      </c>
    </row>
    <row r="1029" ht="15.75" customHeight="1">
      <c r="A1029" s="214" t="s">
        <v>1572</v>
      </c>
      <c r="B1029" s="216">
        <v>5338.0</v>
      </c>
      <c r="C1029" s="216">
        <v>1354.0</v>
      </c>
      <c r="D1029" s="217">
        <v>16.0</v>
      </c>
      <c r="E1029" s="219" t="s">
        <v>242</v>
      </c>
      <c r="F1029" s="219" t="s">
        <v>317</v>
      </c>
      <c r="G1029" s="214" t="s">
        <v>392</v>
      </c>
      <c r="H1029" s="221">
        <v>45084.0</v>
      </c>
      <c r="I1029" s="219" t="s">
        <v>1574</v>
      </c>
      <c r="J1029" s="219" t="s">
        <v>223</v>
      </c>
      <c r="K1029" s="219" t="s">
        <v>402</v>
      </c>
      <c r="L1029" s="214" t="s">
        <v>395</v>
      </c>
      <c r="M1029" s="222">
        <v>2023.0</v>
      </c>
      <c r="N1029" s="214" t="s">
        <v>396</v>
      </c>
      <c r="O1029" s="223">
        <v>2.0</v>
      </c>
      <c r="P1029" s="224">
        <f t="shared" si="1"/>
        <v>0.2536530536</v>
      </c>
      <c r="Q1029" s="214" t="str">
        <f t="shared" si="2"/>
        <v>High</v>
      </c>
    </row>
    <row r="1030" ht="15.75" customHeight="1">
      <c r="A1030" s="214" t="s">
        <v>1572</v>
      </c>
      <c r="B1030" s="216">
        <v>5338.0</v>
      </c>
      <c r="C1030" s="216">
        <v>1354.0</v>
      </c>
      <c r="D1030" s="217">
        <v>16.0</v>
      </c>
      <c r="E1030" s="219" t="s">
        <v>242</v>
      </c>
      <c r="F1030" s="219" t="s">
        <v>317</v>
      </c>
      <c r="G1030" s="214" t="s">
        <v>392</v>
      </c>
      <c r="H1030" s="221">
        <v>45586.0</v>
      </c>
      <c r="I1030" s="219" t="s">
        <v>1575</v>
      </c>
      <c r="J1030" s="219" t="s">
        <v>159</v>
      </c>
      <c r="K1030" s="219" t="s">
        <v>409</v>
      </c>
      <c r="L1030" s="214" t="s">
        <v>485</v>
      </c>
      <c r="M1030" s="222">
        <v>2024.0</v>
      </c>
      <c r="N1030" s="214" t="s">
        <v>414</v>
      </c>
      <c r="O1030" s="223">
        <v>4.0</v>
      </c>
      <c r="P1030" s="224">
        <f t="shared" si="1"/>
        <v>0.2536530536</v>
      </c>
      <c r="Q1030" s="214" t="str">
        <f t="shared" si="2"/>
        <v>High</v>
      </c>
    </row>
    <row r="1031" ht="15.75" customHeight="1">
      <c r="A1031" s="214" t="s">
        <v>1572</v>
      </c>
      <c r="B1031" s="216">
        <v>5338.0</v>
      </c>
      <c r="C1031" s="216">
        <v>1354.0</v>
      </c>
      <c r="D1031" s="217">
        <v>16.0</v>
      </c>
      <c r="E1031" s="219" t="s">
        <v>242</v>
      </c>
      <c r="F1031" s="219" t="s">
        <v>317</v>
      </c>
      <c r="G1031" s="214" t="s">
        <v>392</v>
      </c>
      <c r="H1031" s="221">
        <v>44200.0</v>
      </c>
      <c r="I1031" s="219" t="s">
        <v>1576</v>
      </c>
      <c r="J1031" s="219" t="s">
        <v>223</v>
      </c>
      <c r="K1031" s="219" t="s">
        <v>402</v>
      </c>
      <c r="L1031" s="214" t="s">
        <v>438</v>
      </c>
      <c r="M1031" s="222">
        <v>2021.0</v>
      </c>
      <c r="N1031" s="214" t="s">
        <v>497</v>
      </c>
      <c r="O1031" s="223">
        <v>1.0</v>
      </c>
      <c r="P1031" s="224">
        <f t="shared" si="1"/>
        <v>0.2536530536</v>
      </c>
      <c r="Q1031" s="214" t="str">
        <f t="shared" si="2"/>
        <v>High</v>
      </c>
    </row>
    <row r="1032" ht="15.75" customHeight="1">
      <c r="A1032" s="214" t="s">
        <v>1577</v>
      </c>
      <c r="B1032" s="216">
        <v>3095.0</v>
      </c>
      <c r="C1032" s="216">
        <v>941.0</v>
      </c>
      <c r="D1032" s="217">
        <v>2.0</v>
      </c>
      <c r="E1032" s="219" t="s">
        <v>242</v>
      </c>
      <c r="F1032" s="219" t="s">
        <v>356</v>
      </c>
      <c r="G1032" s="214" t="s">
        <v>406</v>
      </c>
      <c r="H1032" s="221">
        <v>44670.0</v>
      </c>
      <c r="I1032" s="219" t="s">
        <v>1578</v>
      </c>
      <c r="J1032" s="219" t="s">
        <v>313</v>
      </c>
      <c r="K1032" s="219" t="s">
        <v>526</v>
      </c>
      <c r="L1032" s="214" t="s">
        <v>456</v>
      </c>
      <c r="M1032" s="222">
        <v>2022.0</v>
      </c>
      <c r="N1032" s="214" t="s">
        <v>542</v>
      </c>
      <c r="O1032" s="223">
        <v>2.0</v>
      </c>
      <c r="P1032" s="224">
        <f t="shared" si="1"/>
        <v>0.3040387722</v>
      </c>
      <c r="Q1032" s="214" t="str">
        <f t="shared" si="2"/>
        <v>Medium</v>
      </c>
    </row>
    <row r="1033" ht="15.75" customHeight="1">
      <c r="A1033" s="214" t="s">
        <v>1577</v>
      </c>
      <c r="B1033" s="216">
        <v>3095.0</v>
      </c>
      <c r="C1033" s="216">
        <v>941.0</v>
      </c>
      <c r="D1033" s="217">
        <v>2.0</v>
      </c>
      <c r="E1033" s="219" t="s">
        <v>242</v>
      </c>
      <c r="F1033" s="219" t="s">
        <v>356</v>
      </c>
      <c r="G1033" s="214" t="s">
        <v>406</v>
      </c>
      <c r="H1033" s="221">
        <v>44784.0</v>
      </c>
      <c r="I1033" s="219" t="s">
        <v>1579</v>
      </c>
      <c r="J1033" s="219" t="s">
        <v>241</v>
      </c>
      <c r="K1033" s="219" t="s">
        <v>504</v>
      </c>
      <c r="L1033" s="214" t="s">
        <v>461</v>
      </c>
      <c r="M1033" s="222">
        <v>2022.0</v>
      </c>
      <c r="N1033" s="214" t="s">
        <v>523</v>
      </c>
      <c r="O1033" s="223">
        <v>3.0</v>
      </c>
      <c r="P1033" s="224">
        <f t="shared" si="1"/>
        <v>0.3040387722</v>
      </c>
      <c r="Q1033" s="214" t="str">
        <f t="shared" si="2"/>
        <v>Medium</v>
      </c>
    </row>
    <row r="1034" ht="15.75" customHeight="1">
      <c r="A1034" s="214" t="s">
        <v>1580</v>
      </c>
      <c r="B1034" s="216">
        <v>6017.0</v>
      </c>
      <c r="C1034" s="216">
        <v>2230.0</v>
      </c>
      <c r="D1034" s="217">
        <v>13.0</v>
      </c>
      <c r="E1034" s="219" t="s">
        <v>157</v>
      </c>
      <c r="F1034" s="219" t="s">
        <v>354</v>
      </c>
      <c r="G1034" s="214" t="s">
        <v>351</v>
      </c>
      <c r="H1034" s="221">
        <v>45142.0</v>
      </c>
      <c r="I1034" s="219" t="s">
        <v>1581</v>
      </c>
      <c r="J1034" s="219" t="s">
        <v>271</v>
      </c>
      <c r="K1034" s="219" t="s">
        <v>568</v>
      </c>
      <c r="L1034" s="214" t="s">
        <v>472</v>
      </c>
      <c r="M1034" s="222">
        <v>2023.0</v>
      </c>
      <c r="N1034" s="214" t="s">
        <v>523</v>
      </c>
      <c r="O1034" s="223">
        <v>3.0</v>
      </c>
      <c r="P1034" s="224">
        <f t="shared" si="1"/>
        <v>0.3706165863</v>
      </c>
      <c r="Q1034" s="214" t="str">
        <f t="shared" si="2"/>
        <v>High</v>
      </c>
    </row>
    <row r="1035" ht="15.75" customHeight="1">
      <c r="A1035" s="214" t="s">
        <v>1582</v>
      </c>
      <c r="B1035" s="216">
        <v>4904.0</v>
      </c>
      <c r="C1035" s="216">
        <v>469.0</v>
      </c>
      <c r="D1035" s="217">
        <v>2.0</v>
      </c>
      <c r="E1035" s="219" t="s">
        <v>242</v>
      </c>
      <c r="F1035" s="219" t="s">
        <v>356</v>
      </c>
      <c r="G1035" s="214" t="s">
        <v>351</v>
      </c>
      <c r="H1035" s="221">
        <v>43946.0</v>
      </c>
      <c r="I1035" s="219" t="s">
        <v>1583</v>
      </c>
      <c r="J1035" s="219" t="s">
        <v>241</v>
      </c>
      <c r="K1035" s="219" t="s">
        <v>493</v>
      </c>
      <c r="L1035" s="214" t="s">
        <v>418</v>
      </c>
      <c r="M1035" s="222">
        <v>2020.0</v>
      </c>
      <c r="N1035" s="214" t="s">
        <v>542</v>
      </c>
      <c r="O1035" s="223">
        <v>2.0</v>
      </c>
      <c r="P1035" s="224">
        <f t="shared" si="1"/>
        <v>0.09563621533</v>
      </c>
      <c r="Q1035" s="214" t="str">
        <f t="shared" si="2"/>
        <v>Medium</v>
      </c>
    </row>
    <row r="1036" ht="15.75" customHeight="1">
      <c r="A1036" s="214" t="s">
        <v>1582</v>
      </c>
      <c r="B1036" s="216">
        <v>3080.0</v>
      </c>
      <c r="C1036" s="216">
        <v>737.0</v>
      </c>
      <c r="D1036" s="217">
        <v>6.0</v>
      </c>
      <c r="E1036" s="219" t="s">
        <v>242</v>
      </c>
      <c r="F1036" s="219" t="s">
        <v>362</v>
      </c>
      <c r="G1036" s="214" t="s">
        <v>392</v>
      </c>
      <c r="H1036" s="221">
        <v>43946.0</v>
      </c>
      <c r="I1036" s="219" t="s">
        <v>1583</v>
      </c>
      <c r="J1036" s="219" t="s">
        <v>241</v>
      </c>
      <c r="K1036" s="219" t="s">
        <v>493</v>
      </c>
      <c r="L1036" s="214" t="s">
        <v>418</v>
      </c>
      <c r="M1036" s="222">
        <v>2020.0</v>
      </c>
      <c r="N1036" s="214" t="s">
        <v>542</v>
      </c>
      <c r="O1036" s="223">
        <v>2.0</v>
      </c>
      <c r="P1036" s="224">
        <f t="shared" si="1"/>
        <v>0.2392857143</v>
      </c>
      <c r="Q1036" s="214" t="str">
        <f t="shared" si="2"/>
        <v>Medium</v>
      </c>
    </row>
    <row r="1037" ht="15.75" customHeight="1">
      <c r="A1037" s="214" t="s">
        <v>1584</v>
      </c>
      <c r="B1037" s="216">
        <v>1992.0</v>
      </c>
      <c r="C1037" s="216">
        <v>355.0</v>
      </c>
      <c r="D1037" s="217">
        <v>2.0</v>
      </c>
      <c r="E1037" s="219" t="s">
        <v>157</v>
      </c>
      <c r="F1037" s="219" t="s">
        <v>358</v>
      </c>
      <c r="G1037" s="214" t="s">
        <v>405</v>
      </c>
      <c r="H1037" s="221">
        <v>45640.0</v>
      </c>
      <c r="I1037" s="219" t="s">
        <v>1585</v>
      </c>
      <c r="J1037" s="219" t="s">
        <v>159</v>
      </c>
      <c r="K1037" s="219" t="s">
        <v>552</v>
      </c>
      <c r="L1037" s="214" t="s">
        <v>399</v>
      </c>
      <c r="M1037" s="222">
        <v>2024.0</v>
      </c>
      <c r="N1037" s="214" t="s">
        <v>400</v>
      </c>
      <c r="O1037" s="223">
        <v>4.0</v>
      </c>
      <c r="P1037" s="224">
        <f t="shared" si="1"/>
        <v>0.1782128514</v>
      </c>
      <c r="Q1037" s="214" t="str">
        <f t="shared" si="2"/>
        <v>Medium</v>
      </c>
    </row>
    <row r="1038" ht="15.75" customHeight="1">
      <c r="A1038" s="214" t="s">
        <v>1586</v>
      </c>
      <c r="B1038" s="216">
        <v>5346.0</v>
      </c>
      <c r="C1038" s="216">
        <v>1246.0</v>
      </c>
      <c r="D1038" s="217">
        <v>17.0</v>
      </c>
      <c r="E1038" s="219" t="s">
        <v>216</v>
      </c>
      <c r="F1038" s="219" t="s">
        <v>347</v>
      </c>
      <c r="G1038" s="214" t="s">
        <v>406</v>
      </c>
      <c r="H1038" s="221">
        <v>44767.0</v>
      </c>
      <c r="I1038" s="219" t="s">
        <v>1587</v>
      </c>
      <c r="J1038" s="219" t="s">
        <v>159</v>
      </c>
      <c r="K1038" s="219" t="s">
        <v>409</v>
      </c>
      <c r="L1038" s="214" t="s">
        <v>460</v>
      </c>
      <c r="M1038" s="222">
        <v>2022.0</v>
      </c>
      <c r="N1038" s="214" t="s">
        <v>404</v>
      </c>
      <c r="O1038" s="223">
        <v>3.0</v>
      </c>
      <c r="P1038" s="224">
        <f t="shared" si="1"/>
        <v>0.2330714553</v>
      </c>
      <c r="Q1038" s="214" t="str">
        <f t="shared" si="2"/>
        <v>High</v>
      </c>
    </row>
    <row r="1039" ht="15.75" customHeight="1">
      <c r="A1039" s="214" t="s">
        <v>1586</v>
      </c>
      <c r="B1039" s="216">
        <v>5346.0</v>
      </c>
      <c r="C1039" s="216">
        <v>1246.0</v>
      </c>
      <c r="D1039" s="217">
        <v>17.0</v>
      </c>
      <c r="E1039" s="219" t="s">
        <v>216</v>
      </c>
      <c r="F1039" s="219" t="s">
        <v>347</v>
      </c>
      <c r="G1039" s="214" t="s">
        <v>406</v>
      </c>
      <c r="H1039" s="221">
        <v>44688.0</v>
      </c>
      <c r="I1039" s="219" t="s">
        <v>1588</v>
      </c>
      <c r="J1039" s="219" t="s">
        <v>159</v>
      </c>
      <c r="K1039" s="219" t="s">
        <v>394</v>
      </c>
      <c r="L1039" s="214" t="s">
        <v>457</v>
      </c>
      <c r="M1039" s="222">
        <v>2022.0</v>
      </c>
      <c r="N1039" s="214" t="s">
        <v>411</v>
      </c>
      <c r="O1039" s="223">
        <v>2.0</v>
      </c>
      <c r="P1039" s="224">
        <f t="shared" si="1"/>
        <v>0.2330714553</v>
      </c>
      <c r="Q1039" s="214" t="str">
        <f t="shared" si="2"/>
        <v>High</v>
      </c>
    </row>
    <row r="1040" ht="15.75" customHeight="1">
      <c r="A1040" s="214" t="s">
        <v>1589</v>
      </c>
      <c r="B1040" s="216">
        <v>8422.0</v>
      </c>
      <c r="C1040" s="216">
        <v>893.0</v>
      </c>
      <c r="D1040" s="217">
        <v>18.0</v>
      </c>
      <c r="E1040" s="219" t="s">
        <v>157</v>
      </c>
      <c r="F1040" s="219" t="s">
        <v>354</v>
      </c>
      <c r="G1040" s="214" t="s">
        <v>351</v>
      </c>
      <c r="H1040" s="221">
        <v>44784.0</v>
      </c>
      <c r="I1040" s="219" t="s">
        <v>1590</v>
      </c>
      <c r="J1040" s="219" t="s">
        <v>117</v>
      </c>
      <c r="K1040" s="219" t="s">
        <v>508</v>
      </c>
      <c r="L1040" s="214" t="s">
        <v>461</v>
      </c>
      <c r="M1040" s="222">
        <v>2022.0</v>
      </c>
      <c r="N1040" s="214" t="s">
        <v>523</v>
      </c>
      <c r="O1040" s="223">
        <v>3.0</v>
      </c>
      <c r="P1040" s="224">
        <f t="shared" si="1"/>
        <v>0.1060318214</v>
      </c>
      <c r="Q1040" s="214" t="str">
        <f t="shared" si="2"/>
        <v>High</v>
      </c>
    </row>
    <row r="1041" ht="15.75" customHeight="1">
      <c r="A1041" s="214" t="s">
        <v>1589</v>
      </c>
      <c r="B1041" s="216">
        <v>8422.0</v>
      </c>
      <c r="C1041" s="216">
        <v>893.0</v>
      </c>
      <c r="D1041" s="217">
        <v>18.0</v>
      </c>
      <c r="E1041" s="219" t="s">
        <v>157</v>
      </c>
      <c r="F1041" s="219" t="s">
        <v>354</v>
      </c>
      <c r="G1041" s="214" t="s">
        <v>351</v>
      </c>
      <c r="H1041" s="221">
        <v>44785.0</v>
      </c>
      <c r="I1041" s="219" t="s">
        <v>1591</v>
      </c>
      <c r="J1041" s="219" t="s">
        <v>313</v>
      </c>
      <c r="K1041" s="219" t="s">
        <v>512</v>
      </c>
      <c r="L1041" s="214" t="s">
        <v>461</v>
      </c>
      <c r="M1041" s="222">
        <v>2022.0</v>
      </c>
      <c r="N1041" s="214" t="s">
        <v>523</v>
      </c>
      <c r="O1041" s="223">
        <v>3.0</v>
      </c>
      <c r="P1041" s="224">
        <f t="shared" si="1"/>
        <v>0.1060318214</v>
      </c>
      <c r="Q1041" s="214" t="str">
        <f t="shared" si="2"/>
        <v>High</v>
      </c>
    </row>
    <row r="1042" ht="15.75" customHeight="1">
      <c r="A1042" s="214" t="s">
        <v>1589</v>
      </c>
      <c r="B1042" s="216">
        <v>6105.0</v>
      </c>
      <c r="C1042" s="216">
        <v>1447.0</v>
      </c>
      <c r="D1042" s="217">
        <v>8.0</v>
      </c>
      <c r="E1042" s="219" t="s">
        <v>216</v>
      </c>
      <c r="F1042" s="219" t="s">
        <v>361</v>
      </c>
      <c r="G1042" s="214" t="s">
        <v>350</v>
      </c>
      <c r="H1042" s="221">
        <v>44784.0</v>
      </c>
      <c r="I1042" s="219" t="s">
        <v>1590</v>
      </c>
      <c r="J1042" s="219" t="s">
        <v>117</v>
      </c>
      <c r="K1042" s="219" t="s">
        <v>508</v>
      </c>
      <c r="L1042" s="214" t="s">
        <v>461</v>
      </c>
      <c r="M1042" s="222">
        <v>2022.0</v>
      </c>
      <c r="N1042" s="214" t="s">
        <v>523</v>
      </c>
      <c r="O1042" s="223">
        <v>3.0</v>
      </c>
      <c r="P1042" s="224">
        <f t="shared" si="1"/>
        <v>0.237018837</v>
      </c>
      <c r="Q1042" s="214" t="str">
        <f t="shared" si="2"/>
        <v>High</v>
      </c>
    </row>
    <row r="1043" ht="15.75" customHeight="1">
      <c r="A1043" s="214" t="s">
        <v>1589</v>
      </c>
      <c r="B1043" s="216">
        <v>6105.0</v>
      </c>
      <c r="C1043" s="216">
        <v>1447.0</v>
      </c>
      <c r="D1043" s="217">
        <v>8.0</v>
      </c>
      <c r="E1043" s="219" t="s">
        <v>216</v>
      </c>
      <c r="F1043" s="219" t="s">
        <v>361</v>
      </c>
      <c r="G1043" s="214" t="s">
        <v>350</v>
      </c>
      <c r="H1043" s="221">
        <v>44785.0</v>
      </c>
      <c r="I1043" s="219" t="s">
        <v>1591</v>
      </c>
      <c r="J1043" s="219" t="s">
        <v>313</v>
      </c>
      <c r="K1043" s="219" t="s">
        <v>512</v>
      </c>
      <c r="L1043" s="214" t="s">
        <v>461</v>
      </c>
      <c r="M1043" s="222">
        <v>2022.0</v>
      </c>
      <c r="N1043" s="214" t="s">
        <v>523</v>
      </c>
      <c r="O1043" s="223">
        <v>3.0</v>
      </c>
      <c r="P1043" s="224">
        <f t="shared" si="1"/>
        <v>0.237018837</v>
      </c>
      <c r="Q1043" s="214" t="str">
        <f t="shared" si="2"/>
        <v>High</v>
      </c>
    </row>
    <row r="1044" ht="15.75" customHeight="1">
      <c r="A1044" s="214" t="s">
        <v>1592</v>
      </c>
      <c r="B1044" s="216">
        <v>670.0</v>
      </c>
      <c r="C1044" s="216">
        <v>85.0</v>
      </c>
      <c r="D1044" s="217">
        <v>9.0</v>
      </c>
      <c r="E1044" s="219" t="s">
        <v>242</v>
      </c>
      <c r="F1044" s="219" t="s">
        <v>356</v>
      </c>
      <c r="G1044" s="214" t="s">
        <v>406</v>
      </c>
      <c r="H1044" s="221">
        <v>45159.0</v>
      </c>
      <c r="I1044" s="219" t="s">
        <v>1593</v>
      </c>
      <c r="J1044" s="219" t="s">
        <v>241</v>
      </c>
      <c r="K1044" s="219" t="s">
        <v>541</v>
      </c>
      <c r="L1044" s="214" t="s">
        <v>472</v>
      </c>
      <c r="M1044" s="222">
        <v>2023.0</v>
      </c>
      <c r="N1044" s="214" t="s">
        <v>523</v>
      </c>
      <c r="O1044" s="223">
        <v>3.0</v>
      </c>
      <c r="P1044" s="224">
        <f t="shared" si="1"/>
        <v>0.1268656716</v>
      </c>
      <c r="Q1044" s="214" t="str">
        <f t="shared" si="2"/>
        <v>Medium</v>
      </c>
    </row>
    <row r="1045" ht="15.75" customHeight="1">
      <c r="A1045" s="214" t="s">
        <v>1594</v>
      </c>
      <c r="B1045" s="216">
        <v>4057.0</v>
      </c>
      <c r="C1045" s="216">
        <v>1012.0</v>
      </c>
      <c r="D1045" s="217">
        <v>6.0</v>
      </c>
      <c r="E1045" s="219" t="s">
        <v>157</v>
      </c>
      <c r="F1045" s="219" t="s">
        <v>360</v>
      </c>
      <c r="G1045" s="214" t="s">
        <v>350</v>
      </c>
      <c r="H1045" s="221">
        <v>44816.0</v>
      </c>
      <c r="I1045" s="219" t="s">
        <v>1595</v>
      </c>
      <c r="J1045" s="219" t="s">
        <v>117</v>
      </c>
      <c r="K1045" s="219" t="s">
        <v>496</v>
      </c>
      <c r="L1045" s="214" t="s">
        <v>462</v>
      </c>
      <c r="M1045" s="222">
        <v>2022.0</v>
      </c>
      <c r="N1045" s="214" t="s">
        <v>536</v>
      </c>
      <c r="O1045" s="223">
        <v>3.0</v>
      </c>
      <c r="P1045" s="224">
        <f t="shared" si="1"/>
        <v>0.249445403</v>
      </c>
      <c r="Q1045" s="214" t="str">
        <f t="shared" si="2"/>
        <v>Medium</v>
      </c>
    </row>
    <row r="1046" ht="15.75" customHeight="1">
      <c r="A1046" s="214" t="s">
        <v>1596</v>
      </c>
      <c r="B1046" s="216">
        <v>8178.0</v>
      </c>
      <c r="C1046" s="216">
        <v>2462.0</v>
      </c>
      <c r="D1046" s="217">
        <v>10.0</v>
      </c>
      <c r="E1046" s="219" t="s">
        <v>242</v>
      </c>
      <c r="F1046" s="219" t="s">
        <v>356</v>
      </c>
      <c r="G1046" s="214" t="s">
        <v>392</v>
      </c>
      <c r="H1046" s="221">
        <v>45158.0</v>
      </c>
      <c r="I1046" s="219" t="s">
        <v>1597</v>
      </c>
      <c r="J1046" s="219" t="s">
        <v>117</v>
      </c>
      <c r="K1046" s="219" t="s">
        <v>423</v>
      </c>
      <c r="L1046" s="214" t="s">
        <v>472</v>
      </c>
      <c r="M1046" s="222">
        <v>2023.0</v>
      </c>
      <c r="N1046" s="214" t="s">
        <v>523</v>
      </c>
      <c r="O1046" s="223">
        <v>3.0</v>
      </c>
      <c r="P1046" s="224">
        <f t="shared" si="1"/>
        <v>0.3010516019</v>
      </c>
      <c r="Q1046" s="214" t="str">
        <f t="shared" si="2"/>
        <v>High</v>
      </c>
    </row>
    <row r="1047" ht="15.75" customHeight="1">
      <c r="A1047" s="214" t="s">
        <v>1598</v>
      </c>
      <c r="B1047" s="216">
        <v>8752.0</v>
      </c>
      <c r="C1047" s="216">
        <v>1686.0</v>
      </c>
      <c r="D1047" s="217">
        <v>9.0</v>
      </c>
      <c r="E1047" s="219" t="s">
        <v>216</v>
      </c>
      <c r="F1047" s="219" t="s">
        <v>344</v>
      </c>
      <c r="G1047" s="214" t="s">
        <v>351</v>
      </c>
      <c r="H1047" s="221">
        <v>44192.0</v>
      </c>
      <c r="I1047" s="219" t="s">
        <v>1599</v>
      </c>
      <c r="J1047" s="219" t="s">
        <v>313</v>
      </c>
      <c r="K1047" s="219" t="s">
        <v>518</v>
      </c>
      <c r="L1047" s="214" t="s">
        <v>437</v>
      </c>
      <c r="M1047" s="222">
        <v>2020.0</v>
      </c>
      <c r="N1047" s="214" t="s">
        <v>400</v>
      </c>
      <c r="O1047" s="223">
        <v>4.0</v>
      </c>
      <c r="P1047" s="224">
        <f t="shared" si="1"/>
        <v>0.1926416819</v>
      </c>
      <c r="Q1047" s="214" t="str">
        <f t="shared" si="2"/>
        <v>High</v>
      </c>
    </row>
    <row r="1048" ht="15.75" customHeight="1">
      <c r="A1048" s="214" t="s">
        <v>1598</v>
      </c>
      <c r="B1048" s="216">
        <v>8752.0</v>
      </c>
      <c r="C1048" s="216">
        <v>1686.0</v>
      </c>
      <c r="D1048" s="217">
        <v>9.0</v>
      </c>
      <c r="E1048" s="219" t="s">
        <v>216</v>
      </c>
      <c r="F1048" s="219" t="s">
        <v>344</v>
      </c>
      <c r="G1048" s="214" t="s">
        <v>351</v>
      </c>
      <c r="H1048" s="221">
        <v>45173.0</v>
      </c>
      <c r="I1048" s="219" t="s">
        <v>1600</v>
      </c>
      <c r="J1048" s="219" t="s">
        <v>271</v>
      </c>
      <c r="K1048" s="219" t="s">
        <v>568</v>
      </c>
      <c r="L1048" s="214" t="s">
        <v>474</v>
      </c>
      <c r="M1048" s="222">
        <v>2023.0</v>
      </c>
      <c r="N1048" s="214" t="s">
        <v>536</v>
      </c>
      <c r="O1048" s="223">
        <v>3.0</v>
      </c>
      <c r="P1048" s="224">
        <f t="shared" si="1"/>
        <v>0.1926416819</v>
      </c>
      <c r="Q1048" s="214" t="str">
        <f t="shared" si="2"/>
        <v>High</v>
      </c>
    </row>
    <row r="1049" ht="15.75" customHeight="1">
      <c r="A1049" s="214" t="s">
        <v>1598</v>
      </c>
      <c r="B1049" s="216">
        <v>8752.0</v>
      </c>
      <c r="C1049" s="216">
        <v>1686.0</v>
      </c>
      <c r="D1049" s="217">
        <v>9.0</v>
      </c>
      <c r="E1049" s="219" t="s">
        <v>216</v>
      </c>
      <c r="F1049" s="219" t="s">
        <v>344</v>
      </c>
      <c r="G1049" s="214" t="s">
        <v>351</v>
      </c>
      <c r="H1049" s="221">
        <v>44569.0</v>
      </c>
      <c r="I1049" s="219" t="s">
        <v>1601</v>
      </c>
      <c r="J1049" s="219" t="s">
        <v>271</v>
      </c>
      <c r="K1049" s="219" t="s">
        <v>398</v>
      </c>
      <c r="L1049" s="214" t="s">
        <v>453</v>
      </c>
      <c r="M1049" s="222">
        <v>2022.0</v>
      </c>
      <c r="N1049" s="214" t="s">
        <v>497</v>
      </c>
      <c r="O1049" s="223">
        <v>1.0</v>
      </c>
      <c r="P1049" s="224">
        <f t="shared" si="1"/>
        <v>0.1926416819</v>
      </c>
      <c r="Q1049" s="214" t="str">
        <f t="shared" si="2"/>
        <v>High</v>
      </c>
    </row>
    <row r="1050" ht="15.75" customHeight="1">
      <c r="A1050" s="214" t="s">
        <v>1602</v>
      </c>
      <c r="B1050" s="216">
        <v>8974.0</v>
      </c>
      <c r="C1050" s="216">
        <v>4441.0</v>
      </c>
      <c r="D1050" s="217">
        <v>16.0</v>
      </c>
      <c r="E1050" s="219" t="s">
        <v>157</v>
      </c>
      <c r="F1050" s="219" t="s">
        <v>354</v>
      </c>
      <c r="G1050" s="214" t="s">
        <v>406</v>
      </c>
      <c r="H1050" s="221">
        <v>45082.0</v>
      </c>
      <c r="I1050" s="219" t="s">
        <v>1603</v>
      </c>
      <c r="J1050" s="219" t="s">
        <v>223</v>
      </c>
      <c r="K1050" s="219" t="s">
        <v>428</v>
      </c>
      <c r="L1050" s="214" t="s">
        <v>395</v>
      </c>
      <c r="M1050" s="222">
        <v>2023.0</v>
      </c>
      <c r="N1050" s="214" t="s">
        <v>396</v>
      </c>
      <c r="O1050" s="223">
        <v>2.0</v>
      </c>
      <c r="P1050" s="224">
        <f t="shared" si="1"/>
        <v>0.4948740807</v>
      </c>
      <c r="Q1050" s="214" t="str">
        <f t="shared" si="2"/>
        <v>High</v>
      </c>
    </row>
    <row r="1051" ht="15.75" customHeight="1">
      <c r="A1051" s="214" t="s">
        <v>1604</v>
      </c>
      <c r="B1051" s="216">
        <v>9090.0</v>
      </c>
      <c r="C1051" s="216">
        <v>3098.0</v>
      </c>
      <c r="D1051" s="217">
        <v>16.0</v>
      </c>
      <c r="E1051" s="219" t="s">
        <v>157</v>
      </c>
      <c r="F1051" s="219" t="s">
        <v>358</v>
      </c>
      <c r="G1051" s="214" t="s">
        <v>350</v>
      </c>
      <c r="H1051" s="221">
        <v>44287.0</v>
      </c>
      <c r="I1051" s="219" t="s">
        <v>1605</v>
      </c>
      <c r="J1051" s="219" t="s">
        <v>241</v>
      </c>
      <c r="K1051" s="219" t="s">
        <v>493</v>
      </c>
      <c r="L1051" s="214" t="s">
        <v>442</v>
      </c>
      <c r="M1051" s="222">
        <v>2021.0</v>
      </c>
      <c r="N1051" s="214" t="s">
        <v>542</v>
      </c>
      <c r="O1051" s="223">
        <v>2.0</v>
      </c>
      <c r="P1051" s="224">
        <f t="shared" si="1"/>
        <v>0.3408140814</v>
      </c>
      <c r="Q1051" s="214" t="str">
        <f t="shared" si="2"/>
        <v>High</v>
      </c>
    </row>
    <row r="1052" ht="15.75" customHeight="1">
      <c r="A1052" s="214" t="s">
        <v>1604</v>
      </c>
      <c r="B1052" s="216">
        <v>9090.0</v>
      </c>
      <c r="C1052" s="216">
        <v>3098.0</v>
      </c>
      <c r="D1052" s="217">
        <v>16.0</v>
      </c>
      <c r="E1052" s="219" t="s">
        <v>157</v>
      </c>
      <c r="F1052" s="219" t="s">
        <v>358</v>
      </c>
      <c r="G1052" s="214" t="s">
        <v>350</v>
      </c>
      <c r="H1052" s="221">
        <v>45440.0</v>
      </c>
      <c r="I1052" s="219" t="s">
        <v>1606</v>
      </c>
      <c r="J1052" s="219" t="s">
        <v>271</v>
      </c>
      <c r="K1052" s="219" t="s">
        <v>449</v>
      </c>
      <c r="L1052" s="214" t="s">
        <v>410</v>
      </c>
      <c r="M1052" s="222">
        <v>2024.0</v>
      </c>
      <c r="N1052" s="214" t="s">
        <v>411</v>
      </c>
      <c r="O1052" s="223">
        <v>2.0</v>
      </c>
      <c r="P1052" s="224">
        <f t="shared" si="1"/>
        <v>0.3408140814</v>
      </c>
      <c r="Q1052" s="214" t="str">
        <f t="shared" si="2"/>
        <v>High</v>
      </c>
    </row>
    <row r="1053" ht="15.75" customHeight="1">
      <c r="A1053" s="214" t="s">
        <v>1604</v>
      </c>
      <c r="B1053" s="216">
        <v>851.0</v>
      </c>
      <c r="C1053" s="216">
        <v>356.0</v>
      </c>
      <c r="D1053" s="217">
        <v>11.0</v>
      </c>
      <c r="E1053" s="219" t="s">
        <v>157</v>
      </c>
      <c r="F1053" s="219" t="s">
        <v>355</v>
      </c>
      <c r="G1053" s="214" t="s">
        <v>350</v>
      </c>
      <c r="H1053" s="221">
        <v>44287.0</v>
      </c>
      <c r="I1053" s="219" t="s">
        <v>1605</v>
      </c>
      <c r="J1053" s="219" t="s">
        <v>241</v>
      </c>
      <c r="K1053" s="219" t="s">
        <v>493</v>
      </c>
      <c r="L1053" s="214" t="s">
        <v>442</v>
      </c>
      <c r="M1053" s="222">
        <v>2021.0</v>
      </c>
      <c r="N1053" s="214" t="s">
        <v>542</v>
      </c>
      <c r="O1053" s="223">
        <v>2.0</v>
      </c>
      <c r="P1053" s="224">
        <f t="shared" si="1"/>
        <v>0.4183313749</v>
      </c>
      <c r="Q1053" s="214" t="str">
        <f t="shared" si="2"/>
        <v>Medium</v>
      </c>
    </row>
    <row r="1054" ht="15.75" customHeight="1">
      <c r="A1054" s="214" t="s">
        <v>1604</v>
      </c>
      <c r="B1054" s="216">
        <v>851.0</v>
      </c>
      <c r="C1054" s="216">
        <v>356.0</v>
      </c>
      <c r="D1054" s="217">
        <v>11.0</v>
      </c>
      <c r="E1054" s="219" t="s">
        <v>157</v>
      </c>
      <c r="F1054" s="219" t="s">
        <v>355</v>
      </c>
      <c r="G1054" s="214" t="s">
        <v>350</v>
      </c>
      <c r="H1054" s="221">
        <v>45440.0</v>
      </c>
      <c r="I1054" s="219" t="s">
        <v>1606</v>
      </c>
      <c r="J1054" s="219" t="s">
        <v>271</v>
      </c>
      <c r="K1054" s="219" t="s">
        <v>449</v>
      </c>
      <c r="L1054" s="214" t="s">
        <v>410</v>
      </c>
      <c r="M1054" s="222">
        <v>2024.0</v>
      </c>
      <c r="N1054" s="214" t="s">
        <v>411</v>
      </c>
      <c r="O1054" s="223">
        <v>2.0</v>
      </c>
      <c r="P1054" s="224">
        <f t="shared" si="1"/>
        <v>0.4183313749</v>
      </c>
      <c r="Q1054" s="214" t="str">
        <f t="shared" si="2"/>
        <v>Medium</v>
      </c>
    </row>
    <row r="1055" ht="15.75" customHeight="1">
      <c r="A1055" s="214" t="s">
        <v>1607</v>
      </c>
      <c r="B1055" s="216">
        <v>5427.0</v>
      </c>
      <c r="C1055" s="216">
        <v>728.0</v>
      </c>
      <c r="D1055" s="217">
        <v>3.0</v>
      </c>
      <c r="E1055" s="219" t="s">
        <v>157</v>
      </c>
      <c r="F1055" s="219" t="s">
        <v>358</v>
      </c>
      <c r="G1055" s="214" t="s">
        <v>392</v>
      </c>
      <c r="H1055" s="221">
        <v>44994.0</v>
      </c>
      <c r="I1055" s="219" t="s">
        <v>1608</v>
      </c>
      <c r="J1055" s="219" t="s">
        <v>159</v>
      </c>
      <c r="K1055" s="219" t="s">
        <v>394</v>
      </c>
      <c r="L1055" s="214" t="s">
        <v>467</v>
      </c>
      <c r="M1055" s="222">
        <v>2023.0</v>
      </c>
      <c r="N1055" s="214" t="s">
        <v>433</v>
      </c>
      <c r="O1055" s="223">
        <v>1.0</v>
      </c>
      <c r="P1055" s="224">
        <f t="shared" si="1"/>
        <v>0.1341440943</v>
      </c>
      <c r="Q1055" s="214" t="str">
        <f t="shared" si="2"/>
        <v>High</v>
      </c>
    </row>
    <row r="1056" ht="15.75" customHeight="1">
      <c r="A1056" s="214" t="s">
        <v>1609</v>
      </c>
      <c r="B1056" s="216">
        <v>2695.0</v>
      </c>
      <c r="C1056" s="216">
        <v>914.0</v>
      </c>
      <c r="D1056" s="217">
        <v>15.0</v>
      </c>
      <c r="E1056" s="219" t="s">
        <v>216</v>
      </c>
      <c r="F1056" s="219" t="s">
        <v>361</v>
      </c>
      <c r="G1056" s="214" t="s">
        <v>351</v>
      </c>
      <c r="H1056" s="221">
        <v>44770.0</v>
      </c>
      <c r="I1056" s="219" t="s">
        <v>1610</v>
      </c>
      <c r="J1056" s="219" t="s">
        <v>271</v>
      </c>
      <c r="K1056" s="219" t="s">
        <v>568</v>
      </c>
      <c r="L1056" s="214" t="s">
        <v>460</v>
      </c>
      <c r="M1056" s="222">
        <v>2022.0</v>
      </c>
      <c r="N1056" s="214" t="s">
        <v>404</v>
      </c>
      <c r="O1056" s="223">
        <v>3.0</v>
      </c>
      <c r="P1056" s="224">
        <f t="shared" si="1"/>
        <v>0.3391465677</v>
      </c>
      <c r="Q1056" s="214" t="str">
        <f t="shared" si="2"/>
        <v>Medium</v>
      </c>
    </row>
    <row r="1057" ht="15.75" customHeight="1">
      <c r="A1057" s="214" t="s">
        <v>1609</v>
      </c>
      <c r="B1057" s="216">
        <v>2695.0</v>
      </c>
      <c r="C1057" s="216">
        <v>914.0</v>
      </c>
      <c r="D1057" s="217">
        <v>15.0</v>
      </c>
      <c r="E1057" s="219" t="s">
        <v>216</v>
      </c>
      <c r="F1057" s="219" t="s">
        <v>361</v>
      </c>
      <c r="G1057" s="214" t="s">
        <v>351</v>
      </c>
      <c r="H1057" s="221">
        <v>44364.0</v>
      </c>
      <c r="I1057" s="219" t="s">
        <v>1611</v>
      </c>
      <c r="J1057" s="219" t="s">
        <v>117</v>
      </c>
      <c r="K1057" s="219" t="s">
        <v>423</v>
      </c>
      <c r="L1057" s="214" t="s">
        <v>444</v>
      </c>
      <c r="M1057" s="222">
        <v>2021.0</v>
      </c>
      <c r="N1057" s="214" t="s">
        <v>396</v>
      </c>
      <c r="O1057" s="223">
        <v>2.0</v>
      </c>
      <c r="P1057" s="224">
        <f t="shared" si="1"/>
        <v>0.3391465677</v>
      </c>
      <c r="Q1057" s="214" t="str">
        <f t="shared" si="2"/>
        <v>Medium</v>
      </c>
    </row>
    <row r="1058" ht="15.75" customHeight="1">
      <c r="A1058" s="214" t="s">
        <v>1612</v>
      </c>
      <c r="B1058" s="216">
        <v>2386.0</v>
      </c>
      <c r="C1058" s="216">
        <v>999.0</v>
      </c>
      <c r="D1058" s="217">
        <v>3.0</v>
      </c>
      <c r="E1058" s="219" t="s">
        <v>242</v>
      </c>
      <c r="F1058" s="219" t="s">
        <v>356</v>
      </c>
      <c r="G1058" s="214" t="s">
        <v>405</v>
      </c>
      <c r="H1058" s="221">
        <v>45335.0</v>
      </c>
      <c r="I1058" s="219" t="s">
        <v>1613</v>
      </c>
      <c r="J1058" s="219" t="s">
        <v>159</v>
      </c>
      <c r="K1058" s="219" t="s">
        <v>394</v>
      </c>
      <c r="L1058" s="214" t="s">
        <v>478</v>
      </c>
      <c r="M1058" s="222">
        <v>2024.0</v>
      </c>
      <c r="N1058" s="214" t="s">
        <v>494</v>
      </c>
      <c r="O1058" s="223">
        <v>1.0</v>
      </c>
      <c r="P1058" s="224">
        <f t="shared" si="1"/>
        <v>0.4186923722</v>
      </c>
      <c r="Q1058" s="214" t="str">
        <f t="shared" si="2"/>
        <v>Medium</v>
      </c>
    </row>
    <row r="1059" ht="15.75" customHeight="1">
      <c r="A1059" s="214" t="s">
        <v>1614</v>
      </c>
      <c r="B1059" s="216">
        <v>2284.0</v>
      </c>
      <c r="C1059" s="216">
        <v>149.0</v>
      </c>
      <c r="D1059" s="217">
        <v>20.0</v>
      </c>
      <c r="E1059" s="219" t="s">
        <v>242</v>
      </c>
      <c r="F1059" s="219" t="s">
        <v>356</v>
      </c>
      <c r="G1059" s="214" t="s">
        <v>351</v>
      </c>
      <c r="H1059" s="221">
        <v>44414.0</v>
      </c>
      <c r="I1059" s="219" t="s">
        <v>1615</v>
      </c>
      <c r="J1059" s="219" t="s">
        <v>223</v>
      </c>
      <c r="K1059" s="219" t="s">
        <v>473</v>
      </c>
      <c r="L1059" s="214" t="s">
        <v>445</v>
      </c>
      <c r="M1059" s="222">
        <v>2021.0</v>
      </c>
      <c r="N1059" s="214" t="s">
        <v>523</v>
      </c>
      <c r="O1059" s="223">
        <v>3.0</v>
      </c>
      <c r="P1059" s="224">
        <f t="shared" si="1"/>
        <v>0.06523642732</v>
      </c>
      <c r="Q1059" s="214" t="str">
        <f t="shared" si="2"/>
        <v>Medium</v>
      </c>
    </row>
    <row r="1060" ht="15.75" customHeight="1">
      <c r="A1060" s="214" t="s">
        <v>1616</v>
      </c>
      <c r="B1060" s="216">
        <v>6034.0</v>
      </c>
      <c r="C1060" s="216">
        <v>608.0</v>
      </c>
      <c r="D1060" s="217">
        <v>8.0</v>
      </c>
      <c r="E1060" s="219" t="s">
        <v>157</v>
      </c>
      <c r="F1060" s="219" t="s">
        <v>358</v>
      </c>
      <c r="G1060" s="214" t="s">
        <v>406</v>
      </c>
      <c r="H1060" s="221">
        <v>44682.0</v>
      </c>
      <c r="I1060" s="219" t="s">
        <v>1617</v>
      </c>
      <c r="J1060" s="219" t="s">
        <v>241</v>
      </c>
      <c r="K1060" s="219" t="s">
        <v>541</v>
      </c>
      <c r="L1060" s="214" t="s">
        <v>457</v>
      </c>
      <c r="M1060" s="222">
        <v>2022.0</v>
      </c>
      <c r="N1060" s="214" t="s">
        <v>411</v>
      </c>
      <c r="O1060" s="223">
        <v>2.0</v>
      </c>
      <c r="P1060" s="224">
        <f t="shared" si="1"/>
        <v>0.1007623467</v>
      </c>
      <c r="Q1060" s="214" t="str">
        <f t="shared" si="2"/>
        <v>High</v>
      </c>
    </row>
    <row r="1061" ht="15.75" customHeight="1">
      <c r="A1061" s="214" t="s">
        <v>1616</v>
      </c>
      <c r="B1061" s="216">
        <v>8956.0</v>
      </c>
      <c r="C1061" s="216">
        <v>3359.0</v>
      </c>
      <c r="D1061" s="217">
        <v>13.0</v>
      </c>
      <c r="E1061" s="219" t="s">
        <v>216</v>
      </c>
      <c r="F1061" s="219" t="s">
        <v>361</v>
      </c>
      <c r="G1061" s="214" t="s">
        <v>350</v>
      </c>
      <c r="H1061" s="221">
        <v>44682.0</v>
      </c>
      <c r="I1061" s="219" t="s">
        <v>1617</v>
      </c>
      <c r="J1061" s="219" t="s">
        <v>241</v>
      </c>
      <c r="K1061" s="219" t="s">
        <v>541</v>
      </c>
      <c r="L1061" s="214" t="s">
        <v>457</v>
      </c>
      <c r="M1061" s="222">
        <v>2022.0</v>
      </c>
      <c r="N1061" s="214" t="s">
        <v>411</v>
      </c>
      <c r="O1061" s="223">
        <v>2.0</v>
      </c>
      <c r="P1061" s="224">
        <f t="shared" si="1"/>
        <v>0.3750558285</v>
      </c>
      <c r="Q1061" s="214" t="str">
        <f t="shared" si="2"/>
        <v>High</v>
      </c>
    </row>
    <row r="1062" ht="15.75" customHeight="1">
      <c r="A1062" s="214" t="s">
        <v>1618</v>
      </c>
      <c r="B1062" s="216">
        <v>7122.0</v>
      </c>
      <c r="C1062" s="216">
        <v>1982.0</v>
      </c>
      <c r="D1062" s="217">
        <v>7.0</v>
      </c>
      <c r="E1062" s="219" t="s">
        <v>242</v>
      </c>
      <c r="F1062" s="219" t="s">
        <v>317</v>
      </c>
      <c r="G1062" s="214" t="s">
        <v>406</v>
      </c>
      <c r="H1062" s="221">
        <v>45362.0</v>
      </c>
      <c r="I1062" s="219" t="s">
        <v>1619</v>
      </c>
      <c r="J1062" s="219" t="s">
        <v>271</v>
      </c>
      <c r="K1062" s="219" t="s">
        <v>568</v>
      </c>
      <c r="L1062" s="214" t="s">
        <v>479</v>
      </c>
      <c r="M1062" s="222">
        <v>2024.0</v>
      </c>
      <c r="N1062" s="214" t="s">
        <v>433</v>
      </c>
      <c r="O1062" s="223">
        <v>1.0</v>
      </c>
      <c r="P1062" s="224">
        <f t="shared" si="1"/>
        <v>0.2782926144</v>
      </c>
      <c r="Q1062" s="214" t="str">
        <f t="shared" si="2"/>
        <v>High</v>
      </c>
    </row>
    <row r="1063" ht="15.75" customHeight="1">
      <c r="A1063" s="214" t="s">
        <v>1620</v>
      </c>
      <c r="B1063" s="216">
        <v>9775.0</v>
      </c>
      <c r="C1063" s="216">
        <v>4507.0</v>
      </c>
      <c r="D1063" s="217">
        <v>5.0</v>
      </c>
      <c r="E1063" s="219" t="s">
        <v>242</v>
      </c>
      <c r="F1063" s="219" t="s">
        <v>317</v>
      </c>
      <c r="G1063" s="214" t="s">
        <v>392</v>
      </c>
      <c r="H1063" s="221">
        <v>44018.0</v>
      </c>
      <c r="I1063" s="219" t="s">
        <v>1621</v>
      </c>
      <c r="J1063" s="219" t="s">
        <v>313</v>
      </c>
      <c r="K1063" s="219" t="s">
        <v>518</v>
      </c>
      <c r="L1063" s="214" t="s">
        <v>422</v>
      </c>
      <c r="M1063" s="222">
        <v>2020.0</v>
      </c>
      <c r="N1063" s="214" t="s">
        <v>404</v>
      </c>
      <c r="O1063" s="223">
        <v>3.0</v>
      </c>
      <c r="P1063" s="224">
        <f t="shared" si="1"/>
        <v>0.4610741688</v>
      </c>
      <c r="Q1063" s="214" t="str">
        <f t="shared" si="2"/>
        <v>High</v>
      </c>
    </row>
    <row r="1064" ht="15.75" customHeight="1">
      <c r="A1064" s="214" t="s">
        <v>1622</v>
      </c>
      <c r="B1064" s="216">
        <v>3309.0</v>
      </c>
      <c r="C1064" s="216">
        <v>177.0</v>
      </c>
      <c r="D1064" s="217">
        <v>13.0</v>
      </c>
      <c r="E1064" s="219" t="s">
        <v>216</v>
      </c>
      <c r="F1064" s="219" t="s">
        <v>361</v>
      </c>
      <c r="G1064" s="214" t="s">
        <v>406</v>
      </c>
      <c r="H1064" s="221">
        <v>44182.0</v>
      </c>
      <c r="I1064" s="219" t="s">
        <v>1623</v>
      </c>
      <c r="J1064" s="219" t="s">
        <v>313</v>
      </c>
      <c r="K1064" s="219" t="s">
        <v>526</v>
      </c>
      <c r="L1064" s="214" t="s">
        <v>437</v>
      </c>
      <c r="M1064" s="222">
        <v>2020.0</v>
      </c>
      <c r="N1064" s="214" t="s">
        <v>400</v>
      </c>
      <c r="O1064" s="223">
        <v>4.0</v>
      </c>
      <c r="P1064" s="224">
        <f t="shared" si="1"/>
        <v>0.05349048051</v>
      </c>
      <c r="Q1064" s="214" t="str">
        <f t="shared" si="2"/>
        <v>Medium</v>
      </c>
    </row>
    <row r="1065" ht="15.75" customHeight="1">
      <c r="A1065" s="214" t="s">
        <v>1624</v>
      </c>
      <c r="B1065" s="216">
        <v>4163.0</v>
      </c>
      <c r="C1065" s="216">
        <v>897.0</v>
      </c>
      <c r="D1065" s="217">
        <v>14.0</v>
      </c>
      <c r="E1065" s="219" t="s">
        <v>157</v>
      </c>
      <c r="F1065" s="219" t="s">
        <v>355</v>
      </c>
      <c r="G1065" s="214" t="s">
        <v>405</v>
      </c>
      <c r="H1065" s="221">
        <v>44803.0</v>
      </c>
      <c r="I1065" s="219" t="s">
        <v>1625</v>
      </c>
      <c r="J1065" s="219" t="s">
        <v>271</v>
      </c>
      <c r="K1065" s="219" t="s">
        <v>449</v>
      </c>
      <c r="L1065" s="214" t="s">
        <v>461</v>
      </c>
      <c r="M1065" s="222">
        <v>2022.0</v>
      </c>
      <c r="N1065" s="214" t="s">
        <v>523</v>
      </c>
      <c r="O1065" s="223">
        <v>3.0</v>
      </c>
      <c r="P1065" s="224">
        <f t="shared" si="1"/>
        <v>0.2154696133</v>
      </c>
      <c r="Q1065" s="214" t="str">
        <f t="shared" si="2"/>
        <v>Medium</v>
      </c>
    </row>
    <row r="1066" ht="15.75" customHeight="1">
      <c r="A1066" s="214" t="s">
        <v>1624</v>
      </c>
      <c r="B1066" s="216">
        <v>4163.0</v>
      </c>
      <c r="C1066" s="216">
        <v>897.0</v>
      </c>
      <c r="D1066" s="217">
        <v>14.0</v>
      </c>
      <c r="E1066" s="219" t="s">
        <v>157</v>
      </c>
      <c r="F1066" s="219" t="s">
        <v>355</v>
      </c>
      <c r="G1066" s="214" t="s">
        <v>405</v>
      </c>
      <c r="H1066" s="221">
        <v>45715.0</v>
      </c>
      <c r="I1066" s="219" t="s">
        <v>1626</v>
      </c>
      <c r="J1066" s="219" t="s">
        <v>313</v>
      </c>
      <c r="K1066" s="219" t="s">
        <v>526</v>
      </c>
      <c r="L1066" s="214" t="s">
        <v>488</v>
      </c>
      <c r="M1066" s="222">
        <v>2025.0</v>
      </c>
      <c r="N1066" s="214" t="s">
        <v>494</v>
      </c>
      <c r="O1066" s="223">
        <v>1.0</v>
      </c>
      <c r="P1066" s="224">
        <f t="shared" si="1"/>
        <v>0.2154696133</v>
      </c>
      <c r="Q1066" s="214" t="str">
        <f t="shared" si="2"/>
        <v>Medium</v>
      </c>
    </row>
    <row r="1067" ht="15.75" customHeight="1">
      <c r="A1067" s="214" t="s">
        <v>1624</v>
      </c>
      <c r="B1067" s="216">
        <v>4163.0</v>
      </c>
      <c r="C1067" s="216">
        <v>897.0</v>
      </c>
      <c r="D1067" s="217">
        <v>14.0</v>
      </c>
      <c r="E1067" s="219" t="s">
        <v>157</v>
      </c>
      <c r="F1067" s="219" t="s">
        <v>355</v>
      </c>
      <c r="G1067" s="214" t="s">
        <v>405</v>
      </c>
      <c r="H1067" s="221">
        <v>44352.0</v>
      </c>
      <c r="I1067" s="219" t="s">
        <v>1627</v>
      </c>
      <c r="J1067" s="219" t="s">
        <v>159</v>
      </c>
      <c r="K1067" s="219" t="s">
        <v>409</v>
      </c>
      <c r="L1067" s="214" t="s">
        <v>444</v>
      </c>
      <c r="M1067" s="222">
        <v>2021.0</v>
      </c>
      <c r="N1067" s="214" t="s">
        <v>396</v>
      </c>
      <c r="O1067" s="223">
        <v>2.0</v>
      </c>
      <c r="P1067" s="224">
        <f t="shared" si="1"/>
        <v>0.2154696133</v>
      </c>
      <c r="Q1067" s="214" t="str">
        <f t="shared" si="2"/>
        <v>Medium</v>
      </c>
    </row>
    <row r="1068" ht="15.75" customHeight="1">
      <c r="A1068" s="214" t="s">
        <v>1628</v>
      </c>
      <c r="B1068" s="216">
        <v>5518.0</v>
      </c>
      <c r="C1068" s="216">
        <v>867.0</v>
      </c>
      <c r="D1068" s="217">
        <v>7.0</v>
      </c>
      <c r="E1068" s="219" t="s">
        <v>216</v>
      </c>
      <c r="F1068" s="219" t="s">
        <v>347</v>
      </c>
      <c r="G1068" s="214" t="s">
        <v>392</v>
      </c>
      <c r="H1068" s="221">
        <v>44917.0</v>
      </c>
      <c r="I1068" s="219" t="s">
        <v>1629</v>
      </c>
      <c r="J1068" s="219" t="s">
        <v>241</v>
      </c>
      <c r="K1068" s="219" t="s">
        <v>541</v>
      </c>
      <c r="L1068" s="214" t="s">
        <v>464</v>
      </c>
      <c r="M1068" s="222">
        <v>2022.0</v>
      </c>
      <c r="N1068" s="214" t="s">
        <v>400</v>
      </c>
      <c r="O1068" s="223">
        <v>4.0</v>
      </c>
      <c r="P1068" s="224">
        <f t="shared" si="1"/>
        <v>0.1571221457</v>
      </c>
      <c r="Q1068" s="214" t="str">
        <f t="shared" si="2"/>
        <v>High</v>
      </c>
    </row>
    <row r="1069" ht="15.75" customHeight="1">
      <c r="A1069" s="214" t="s">
        <v>1630</v>
      </c>
      <c r="B1069" s="216">
        <v>7566.0</v>
      </c>
      <c r="C1069" s="216">
        <v>606.0</v>
      </c>
      <c r="D1069" s="217">
        <v>6.0</v>
      </c>
      <c r="E1069" s="219" t="s">
        <v>157</v>
      </c>
      <c r="F1069" s="219" t="s">
        <v>358</v>
      </c>
      <c r="G1069" s="214" t="s">
        <v>351</v>
      </c>
      <c r="H1069" s="221">
        <v>45682.0</v>
      </c>
      <c r="I1069" s="219" t="s">
        <v>1631</v>
      </c>
      <c r="J1069" s="219" t="s">
        <v>313</v>
      </c>
      <c r="K1069" s="219" t="s">
        <v>512</v>
      </c>
      <c r="L1069" s="214" t="s">
        <v>487</v>
      </c>
      <c r="M1069" s="222">
        <v>2025.0</v>
      </c>
      <c r="N1069" s="214" t="s">
        <v>497</v>
      </c>
      <c r="O1069" s="223">
        <v>1.0</v>
      </c>
      <c r="P1069" s="224">
        <f t="shared" si="1"/>
        <v>0.08009516257</v>
      </c>
      <c r="Q1069" s="214" t="str">
        <f t="shared" si="2"/>
        <v>High</v>
      </c>
    </row>
    <row r="1070" ht="15.75" customHeight="1">
      <c r="A1070" s="214" t="s">
        <v>1630</v>
      </c>
      <c r="B1070" s="216">
        <v>7566.0</v>
      </c>
      <c r="C1070" s="216">
        <v>606.0</v>
      </c>
      <c r="D1070" s="217">
        <v>6.0</v>
      </c>
      <c r="E1070" s="219" t="s">
        <v>157</v>
      </c>
      <c r="F1070" s="219" t="s">
        <v>358</v>
      </c>
      <c r="G1070" s="214" t="s">
        <v>351</v>
      </c>
      <c r="H1070" s="221">
        <v>45702.0</v>
      </c>
      <c r="I1070" s="219" t="s">
        <v>1632</v>
      </c>
      <c r="J1070" s="219" t="s">
        <v>117</v>
      </c>
      <c r="K1070" s="219" t="s">
        <v>496</v>
      </c>
      <c r="L1070" s="214" t="s">
        <v>488</v>
      </c>
      <c r="M1070" s="222">
        <v>2025.0</v>
      </c>
      <c r="N1070" s="214" t="s">
        <v>494</v>
      </c>
      <c r="O1070" s="223">
        <v>1.0</v>
      </c>
      <c r="P1070" s="224">
        <f t="shared" si="1"/>
        <v>0.08009516257</v>
      </c>
      <c r="Q1070" s="214" t="str">
        <f t="shared" si="2"/>
        <v>High</v>
      </c>
    </row>
    <row r="1071" ht="15.75" customHeight="1">
      <c r="A1071" s="214" t="s">
        <v>1633</v>
      </c>
      <c r="B1071" s="216">
        <v>762.0</v>
      </c>
      <c r="C1071" s="216">
        <v>92.0</v>
      </c>
      <c r="D1071" s="217">
        <v>11.0</v>
      </c>
      <c r="E1071" s="219" t="s">
        <v>157</v>
      </c>
      <c r="F1071" s="219" t="s">
        <v>354</v>
      </c>
      <c r="G1071" s="214" t="s">
        <v>405</v>
      </c>
      <c r="H1071" s="221">
        <v>44932.0</v>
      </c>
      <c r="I1071" s="219" t="s">
        <v>1634</v>
      </c>
      <c r="J1071" s="219" t="s">
        <v>271</v>
      </c>
      <c r="K1071" s="219" t="s">
        <v>449</v>
      </c>
      <c r="L1071" s="214" t="s">
        <v>465</v>
      </c>
      <c r="M1071" s="222">
        <v>2023.0</v>
      </c>
      <c r="N1071" s="214" t="s">
        <v>497</v>
      </c>
      <c r="O1071" s="223">
        <v>1.0</v>
      </c>
      <c r="P1071" s="224">
        <f t="shared" si="1"/>
        <v>0.1207349081</v>
      </c>
      <c r="Q1071" s="214" t="str">
        <f t="shared" si="2"/>
        <v>Medium</v>
      </c>
    </row>
    <row r="1072" ht="15.75" customHeight="1">
      <c r="A1072" s="214" t="s">
        <v>1635</v>
      </c>
      <c r="B1072" s="216">
        <v>3316.0</v>
      </c>
      <c r="C1072" s="216">
        <v>126.0</v>
      </c>
      <c r="D1072" s="217">
        <v>6.0</v>
      </c>
      <c r="E1072" s="219" t="s">
        <v>157</v>
      </c>
      <c r="F1072" s="219" t="s">
        <v>360</v>
      </c>
      <c r="G1072" s="214" t="s">
        <v>405</v>
      </c>
      <c r="H1072" s="221">
        <v>44115.0</v>
      </c>
      <c r="I1072" s="219" t="s">
        <v>1636</v>
      </c>
      <c r="J1072" s="219" t="s">
        <v>313</v>
      </c>
      <c r="K1072" s="219" t="s">
        <v>518</v>
      </c>
      <c r="L1072" s="214" t="s">
        <v>435</v>
      </c>
      <c r="M1072" s="222">
        <v>2020.0</v>
      </c>
      <c r="N1072" s="214" t="s">
        <v>414</v>
      </c>
      <c r="O1072" s="223">
        <v>4.0</v>
      </c>
      <c r="P1072" s="224">
        <f t="shared" si="1"/>
        <v>0.03799758745</v>
      </c>
      <c r="Q1072" s="214" t="str">
        <f t="shared" si="2"/>
        <v>Medium</v>
      </c>
    </row>
    <row r="1073" ht="15.75" customHeight="1">
      <c r="A1073" s="214" t="s">
        <v>1637</v>
      </c>
      <c r="B1073" s="216">
        <v>5994.0</v>
      </c>
      <c r="C1073" s="216">
        <v>2826.0</v>
      </c>
      <c r="D1073" s="217">
        <v>9.0</v>
      </c>
      <c r="E1073" s="219" t="s">
        <v>216</v>
      </c>
      <c r="F1073" s="219" t="s">
        <v>361</v>
      </c>
      <c r="G1073" s="214" t="s">
        <v>406</v>
      </c>
      <c r="H1073" s="221">
        <v>45070.0</v>
      </c>
      <c r="I1073" s="219" t="s">
        <v>1638</v>
      </c>
      <c r="J1073" s="219" t="s">
        <v>117</v>
      </c>
      <c r="K1073" s="219" t="s">
        <v>508</v>
      </c>
      <c r="L1073" s="214" t="s">
        <v>469</v>
      </c>
      <c r="M1073" s="222">
        <v>2023.0</v>
      </c>
      <c r="N1073" s="214" t="s">
        <v>411</v>
      </c>
      <c r="O1073" s="223">
        <v>2.0</v>
      </c>
      <c r="P1073" s="224">
        <f t="shared" si="1"/>
        <v>0.4714714715</v>
      </c>
      <c r="Q1073" s="214" t="str">
        <f t="shared" si="2"/>
        <v>High</v>
      </c>
    </row>
    <row r="1074" ht="15.75" customHeight="1">
      <c r="A1074" s="214" t="s">
        <v>1637</v>
      </c>
      <c r="B1074" s="216">
        <v>5994.0</v>
      </c>
      <c r="C1074" s="216">
        <v>2826.0</v>
      </c>
      <c r="D1074" s="217">
        <v>9.0</v>
      </c>
      <c r="E1074" s="219" t="s">
        <v>216</v>
      </c>
      <c r="F1074" s="219" t="s">
        <v>361</v>
      </c>
      <c r="G1074" s="214" t="s">
        <v>406</v>
      </c>
      <c r="H1074" s="221">
        <v>45363.0</v>
      </c>
      <c r="I1074" s="219" t="s">
        <v>1639</v>
      </c>
      <c r="J1074" s="219" t="s">
        <v>117</v>
      </c>
      <c r="K1074" s="219" t="s">
        <v>423</v>
      </c>
      <c r="L1074" s="214" t="s">
        <v>479</v>
      </c>
      <c r="M1074" s="222">
        <v>2024.0</v>
      </c>
      <c r="N1074" s="214" t="s">
        <v>433</v>
      </c>
      <c r="O1074" s="223">
        <v>1.0</v>
      </c>
      <c r="P1074" s="224">
        <f t="shared" si="1"/>
        <v>0.4714714715</v>
      </c>
      <c r="Q1074" s="214" t="str">
        <f t="shared" si="2"/>
        <v>High</v>
      </c>
    </row>
    <row r="1075" ht="15.75" customHeight="1">
      <c r="A1075" s="214" t="s">
        <v>1637</v>
      </c>
      <c r="B1075" s="216">
        <v>5994.0</v>
      </c>
      <c r="C1075" s="216">
        <v>2826.0</v>
      </c>
      <c r="D1075" s="217">
        <v>9.0</v>
      </c>
      <c r="E1075" s="219" t="s">
        <v>216</v>
      </c>
      <c r="F1075" s="219" t="s">
        <v>361</v>
      </c>
      <c r="G1075" s="214" t="s">
        <v>406</v>
      </c>
      <c r="H1075" s="221">
        <v>45368.0</v>
      </c>
      <c r="I1075" s="219" t="s">
        <v>1640</v>
      </c>
      <c r="J1075" s="219" t="s">
        <v>223</v>
      </c>
      <c r="K1075" s="219" t="s">
        <v>428</v>
      </c>
      <c r="L1075" s="214" t="s">
        <v>479</v>
      </c>
      <c r="M1075" s="222">
        <v>2024.0</v>
      </c>
      <c r="N1075" s="214" t="s">
        <v>433</v>
      </c>
      <c r="O1075" s="223">
        <v>1.0</v>
      </c>
      <c r="P1075" s="224">
        <f t="shared" si="1"/>
        <v>0.4714714715</v>
      </c>
      <c r="Q1075" s="214" t="str">
        <f t="shared" si="2"/>
        <v>High</v>
      </c>
    </row>
    <row r="1076" ht="15.75" customHeight="1">
      <c r="A1076" s="214" t="s">
        <v>1641</v>
      </c>
      <c r="B1076" s="216">
        <v>3854.0</v>
      </c>
      <c r="C1076" s="216">
        <v>245.0</v>
      </c>
      <c r="D1076" s="217">
        <v>19.0</v>
      </c>
      <c r="E1076" s="219" t="s">
        <v>157</v>
      </c>
      <c r="F1076" s="219" t="s">
        <v>360</v>
      </c>
      <c r="G1076" s="214" t="s">
        <v>405</v>
      </c>
      <c r="H1076" s="221">
        <v>44698.0</v>
      </c>
      <c r="I1076" s="219" t="s">
        <v>1642</v>
      </c>
      <c r="J1076" s="219" t="s">
        <v>313</v>
      </c>
      <c r="K1076" s="219" t="s">
        <v>512</v>
      </c>
      <c r="L1076" s="214" t="s">
        <v>457</v>
      </c>
      <c r="M1076" s="222">
        <v>2022.0</v>
      </c>
      <c r="N1076" s="214" t="s">
        <v>411</v>
      </c>
      <c r="O1076" s="223">
        <v>2.0</v>
      </c>
      <c r="P1076" s="224">
        <f t="shared" si="1"/>
        <v>0.06357031655</v>
      </c>
      <c r="Q1076" s="214" t="str">
        <f t="shared" si="2"/>
        <v>Medium</v>
      </c>
    </row>
    <row r="1077" ht="15.75" customHeight="1">
      <c r="A1077" s="214" t="s">
        <v>1643</v>
      </c>
      <c r="B1077" s="216">
        <v>7019.0</v>
      </c>
      <c r="C1077" s="216">
        <v>2677.0</v>
      </c>
      <c r="D1077" s="217">
        <v>15.0</v>
      </c>
      <c r="E1077" s="219" t="s">
        <v>242</v>
      </c>
      <c r="F1077" s="219" t="s">
        <v>317</v>
      </c>
      <c r="G1077" s="214" t="s">
        <v>392</v>
      </c>
      <c r="H1077" s="221">
        <v>44186.0</v>
      </c>
      <c r="I1077" s="219" t="s">
        <v>1644</v>
      </c>
      <c r="J1077" s="219" t="s">
        <v>159</v>
      </c>
      <c r="K1077" s="219" t="s">
        <v>394</v>
      </c>
      <c r="L1077" s="214" t="s">
        <v>437</v>
      </c>
      <c r="M1077" s="222">
        <v>2020.0</v>
      </c>
      <c r="N1077" s="214" t="s">
        <v>400</v>
      </c>
      <c r="O1077" s="223">
        <v>4.0</v>
      </c>
      <c r="P1077" s="224">
        <f t="shared" si="1"/>
        <v>0.3813933609</v>
      </c>
      <c r="Q1077" s="214" t="str">
        <f t="shared" si="2"/>
        <v>High</v>
      </c>
    </row>
    <row r="1078" ht="15.75" customHeight="1">
      <c r="A1078" s="214" t="s">
        <v>1645</v>
      </c>
      <c r="B1078" s="216">
        <v>5954.0</v>
      </c>
      <c r="C1078" s="216">
        <v>2640.0</v>
      </c>
      <c r="D1078" s="217">
        <v>14.0</v>
      </c>
      <c r="E1078" s="219" t="s">
        <v>157</v>
      </c>
      <c r="F1078" s="219" t="s">
        <v>360</v>
      </c>
      <c r="G1078" s="214" t="s">
        <v>350</v>
      </c>
      <c r="H1078" s="221">
        <v>44432.0</v>
      </c>
      <c r="I1078" s="219" t="s">
        <v>1646</v>
      </c>
      <c r="J1078" s="219" t="s">
        <v>223</v>
      </c>
      <c r="K1078" s="219" t="s">
        <v>428</v>
      </c>
      <c r="L1078" s="214" t="s">
        <v>445</v>
      </c>
      <c r="M1078" s="222">
        <v>2021.0</v>
      </c>
      <c r="N1078" s="214" t="s">
        <v>523</v>
      </c>
      <c r="O1078" s="223">
        <v>3.0</v>
      </c>
      <c r="P1078" s="224">
        <f t="shared" si="1"/>
        <v>0.4433993954</v>
      </c>
      <c r="Q1078" s="214" t="str">
        <f t="shared" si="2"/>
        <v>High</v>
      </c>
    </row>
    <row r="1079" ht="15.75" customHeight="1">
      <c r="A1079" s="214" t="s">
        <v>1645</v>
      </c>
      <c r="B1079" s="216">
        <v>5954.0</v>
      </c>
      <c r="C1079" s="216">
        <v>2640.0</v>
      </c>
      <c r="D1079" s="217">
        <v>14.0</v>
      </c>
      <c r="E1079" s="219" t="s">
        <v>157</v>
      </c>
      <c r="F1079" s="219" t="s">
        <v>360</v>
      </c>
      <c r="G1079" s="214" t="s">
        <v>350</v>
      </c>
      <c r="H1079" s="221">
        <v>44856.0</v>
      </c>
      <c r="I1079" s="219" t="s">
        <v>1647</v>
      </c>
      <c r="J1079" s="219" t="s">
        <v>241</v>
      </c>
      <c r="K1079" s="219" t="s">
        <v>493</v>
      </c>
      <c r="L1079" s="214" t="s">
        <v>463</v>
      </c>
      <c r="M1079" s="222">
        <v>2022.0</v>
      </c>
      <c r="N1079" s="214" t="s">
        <v>414</v>
      </c>
      <c r="O1079" s="223">
        <v>4.0</v>
      </c>
      <c r="P1079" s="224">
        <f t="shared" si="1"/>
        <v>0.4433993954</v>
      </c>
      <c r="Q1079" s="214" t="str">
        <f t="shared" si="2"/>
        <v>High</v>
      </c>
    </row>
    <row r="1080" ht="15.75" customHeight="1">
      <c r="A1080" s="214" t="s">
        <v>1648</v>
      </c>
      <c r="B1080" s="216">
        <v>9752.0</v>
      </c>
      <c r="C1080" s="216">
        <v>3618.0</v>
      </c>
      <c r="D1080" s="217">
        <v>5.0</v>
      </c>
      <c r="E1080" s="219" t="s">
        <v>216</v>
      </c>
      <c r="F1080" s="219" t="s">
        <v>361</v>
      </c>
      <c r="G1080" s="214" t="s">
        <v>351</v>
      </c>
      <c r="H1080" s="221">
        <v>45343.0</v>
      </c>
      <c r="I1080" s="219" t="s">
        <v>1649</v>
      </c>
      <c r="J1080" s="219" t="s">
        <v>223</v>
      </c>
      <c r="K1080" s="219" t="s">
        <v>473</v>
      </c>
      <c r="L1080" s="214" t="s">
        <v>478</v>
      </c>
      <c r="M1080" s="222">
        <v>2024.0</v>
      </c>
      <c r="N1080" s="214" t="s">
        <v>494</v>
      </c>
      <c r="O1080" s="223">
        <v>1.0</v>
      </c>
      <c r="P1080" s="224">
        <f t="shared" si="1"/>
        <v>0.3710008203</v>
      </c>
      <c r="Q1080" s="214" t="str">
        <f t="shared" si="2"/>
        <v>High</v>
      </c>
    </row>
    <row r="1081" ht="15.75" customHeight="1">
      <c r="A1081" s="214" t="s">
        <v>1648</v>
      </c>
      <c r="B1081" s="216">
        <v>9752.0</v>
      </c>
      <c r="C1081" s="216">
        <v>3618.0</v>
      </c>
      <c r="D1081" s="217">
        <v>5.0</v>
      </c>
      <c r="E1081" s="219" t="s">
        <v>216</v>
      </c>
      <c r="F1081" s="219" t="s">
        <v>361</v>
      </c>
      <c r="G1081" s="214" t="s">
        <v>351</v>
      </c>
      <c r="H1081" s="221">
        <v>44865.0</v>
      </c>
      <c r="I1081" s="219" t="s">
        <v>1650</v>
      </c>
      <c r="J1081" s="219" t="s">
        <v>271</v>
      </c>
      <c r="K1081" s="219" t="s">
        <v>568</v>
      </c>
      <c r="L1081" s="214" t="s">
        <v>463</v>
      </c>
      <c r="M1081" s="222">
        <v>2022.0</v>
      </c>
      <c r="N1081" s="214" t="s">
        <v>414</v>
      </c>
      <c r="O1081" s="223">
        <v>4.0</v>
      </c>
      <c r="P1081" s="224">
        <f t="shared" si="1"/>
        <v>0.3710008203</v>
      </c>
      <c r="Q1081" s="214" t="str">
        <f t="shared" si="2"/>
        <v>High</v>
      </c>
    </row>
    <row r="1082" ht="15.75" customHeight="1">
      <c r="A1082" s="214" t="s">
        <v>1651</v>
      </c>
      <c r="B1082" s="216">
        <v>5335.0</v>
      </c>
      <c r="C1082" s="216">
        <v>322.0</v>
      </c>
      <c r="D1082" s="217">
        <v>15.0</v>
      </c>
      <c r="E1082" s="219" t="s">
        <v>157</v>
      </c>
      <c r="F1082" s="219" t="s">
        <v>355</v>
      </c>
      <c r="G1082" s="214" t="s">
        <v>405</v>
      </c>
      <c r="H1082" s="221">
        <v>44696.0</v>
      </c>
      <c r="I1082" s="219" t="s">
        <v>1652</v>
      </c>
      <c r="J1082" s="219" t="s">
        <v>223</v>
      </c>
      <c r="K1082" s="219" t="s">
        <v>428</v>
      </c>
      <c r="L1082" s="214" t="s">
        <v>457</v>
      </c>
      <c r="M1082" s="222">
        <v>2022.0</v>
      </c>
      <c r="N1082" s="214" t="s">
        <v>411</v>
      </c>
      <c r="O1082" s="223">
        <v>2.0</v>
      </c>
      <c r="P1082" s="224">
        <f t="shared" si="1"/>
        <v>0.06035613871</v>
      </c>
      <c r="Q1082" s="214" t="str">
        <f t="shared" si="2"/>
        <v>High</v>
      </c>
    </row>
    <row r="1083" ht="15.75" customHeight="1">
      <c r="A1083" s="214" t="s">
        <v>1653</v>
      </c>
      <c r="B1083" s="216">
        <v>1454.0</v>
      </c>
      <c r="C1083" s="216">
        <v>80.0</v>
      </c>
      <c r="D1083" s="217">
        <v>20.0</v>
      </c>
      <c r="E1083" s="219" t="s">
        <v>157</v>
      </c>
      <c r="F1083" s="219" t="s">
        <v>355</v>
      </c>
      <c r="G1083" s="214" t="s">
        <v>350</v>
      </c>
      <c r="H1083" s="221">
        <v>44764.0</v>
      </c>
      <c r="I1083" s="219" t="s">
        <v>1654</v>
      </c>
      <c r="J1083" s="219" t="s">
        <v>223</v>
      </c>
      <c r="K1083" s="219" t="s">
        <v>473</v>
      </c>
      <c r="L1083" s="214" t="s">
        <v>460</v>
      </c>
      <c r="M1083" s="222">
        <v>2022.0</v>
      </c>
      <c r="N1083" s="214" t="s">
        <v>404</v>
      </c>
      <c r="O1083" s="223">
        <v>3.0</v>
      </c>
      <c r="P1083" s="224">
        <f t="shared" si="1"/>
        <v>0.05502063274</v>
      </c>
      <c r="Q1083" s="214" t="str">
        <f t="shared" si="2"/>
        <v>Medium</v>
      </c>
    </row>
    <row r="1084" ht="15.75" customHeight="1">
      <c r="A1084" s="214" t="s">
        <v>1655</v>
      </c>
      <c r="B1084" s="216">
        <v>6724.0</v>
      </c>
      <c r="C1084" s="216">
        <v>1539.0</v>
      </c>
      <c r="D1084" s="217">
        <v>19.0</v>
      </c>
      <c r="E1084" s="219" t="s">
        <v>216</v>
      </c>
      <c r="F1084" s="219" t="s">
        <v>361</v>
      </c>
      <c r="G1084" s="214" t="s">
        <v>405</v>
      </c>
      <c r="H1084" s="221">
        <v>44543.0</v>
      </c>
      <c r="I1084" s="219" t="s">
        <v>1656</v>
      </c>
      <c r="J1084" s="219" t="s">
        <v>117</v>
      </c>
      <c r="K1084" s="219" t="s">
        <v>508</v>
      </c>
      <c r="L1084" s="214" t="s">
        <v>452</v>
      </c>
      <c r="M1084" s="222">
        <v>2021.0</v>
      </c>
      <c r="N1084" s="214" t="s">
        <v>400</v>
      </c>
      <c r="O1084" s="223">
        <v>4.0</v>
      </c>
      <c r="P1084" s="224">
        <f t="shared" si="1"/>
        <v>0.2288816181</v>
      </c>
      <c r="Q1084" s="214" t="str">
        <f t="shared" si="2"/>
        <v>High</v>
      </c>
    </row>
    <row r="1085" ht="15.75" customHeight="1">
      <c r="A1085" s="214" t="s">
        <v>1655</v>
      </c>
      <c r="B1085" s="216">
        <v>6724.0</v>
      </c>
      <c r="C1085" s="216">
        <v>1539.0</v>
      </c>
      <c r="D1085" s="217">
        <v>19.0</v>
      </c>
      <c r="E1085" s="219" t="s">
        <v>216</v>
      </c>
      <c r="F1085" s="219" t="s">
        <v>361</v>
      </c>
      <c r="G1085" s="214" t="s">
        <v>405</v>
      </c>
      <c r="H1085" s="221">
        <v>44350.0</v>
      </c>
      <c r="I1085" s="219" t="s">
        <v>1657</v>
      </c>
      <c r="J1085" s="219" t="s">
        <v>241</v>
      </c>
      <c r="K1085" s="219" t="s">
        <v>493</v>
      </c>
      <c r="L1085" s="214" t="s">
        <v>444</v>
      </c>
      <c r="M1085" s="222">
        <v>2021.0</v>
      </c>
      <c r="N1085" s="214" t="s">
        <v>396</v>
      </c>
      <c r="O1085" s="223">
        <v>2.0</v>
      </c>
      <c r="P1085" s="224">
        <f t="shared" si="1"/>
        <v>0.2288816181</v>
      </c>
      <c r="Q1085" s="214" t="str">
        <f t="shared" si="2"/>
        <v>High</v>
      </c>
    </row>
    <row r="1086" ht="15.75" customHeight="1">
      <c r="A1086" s="214" t="s">
        <v>1658</v>
      </c>
      <c r="B1086" s="216">
        <v>9874.0</v>
      </c>
      <c r="C1086" s="216">
        <v>3895.0</v>
      </c>
      <c r="D1086" s="217">
        <v>4.0</v>
      </c>
      <c r="E1086" s="219" t="s">
        <v>242</v>
      </c>
      <c r="F1086" s="219" t="s">
        <v>362</v>
      </c>
      <c r="G1086" s="214" t="s">
        <v>406</v>
      </c>
      <c r="H1086" s="221">
        <v>45712.0</v>
      </c>
      <c r="I1086" s="219" t="s">
        <v>1659</v>
      </c>
      <c r="J1086" s="219" t="s">
        <v>313</v>
      </c>
      <c r="K1086" s="219" t="s">
        <v>526</v>
      </c>
      <c r="L1086" s="214" t="s">
        <v>488</v>
      </c>
      <c r="M1086" s="222">
        <v>2025.0</v>
      </c>
      <c r="N1086" s="214" t="s">
        <v>494</v>
      </c>
      <c r="O1086" s="223">
        <v>1.0</v>
      </c>
      <c r="P1086" s="224">
        <f t="shared" si="1"/>
        <v>0.3944703261</v>
      </c>
      <c r="Q1086" s="214" t="str">
        <f t="shared" si="2"/>
        <v>High</v>
      </c>
    </row>
    <row r="1087" ht="15.75" customHeight="1">
      <c r="A1087" s="214" t="s">
        <v>1660</v>
      </c>
      <c r="B1087" s="216">
        <v>4918.0</v>
      </c>
      <c r="C1087" s="216">
        <v>1485.0</v>
      </c>
      <c r="D1087" s="217">
        <v>7.0</v>
      </c>
      <c r="E1087" s="219" t="s">
        <v>157</v>
      </c>
      <c r="F1087" s="219" t="s">
        <v>358</v>
      </c>
      <c r="G1087" s="214" t="s">
        <v>392</v>
      </c>
      <c r="H1087" s="221">
        <v>44959.0</v>
      </c>
      <c r="I1087" s="219" t="s">
        <v>1661</v>
      </c>
      <c r="J1087" s="219" t="s">
        <v>159</v>
      </c>
      <c r="K1087" s="219" t="s">
        <v>552</v>
      </c>
      <c r="L1087" s="214" t="s">
        <v>466</v>
      </c>
      <c r="M1087" s="222">
        <v>2023.0</v>
      </c>
      <c r="N1087" s="214" t="s">
        <v>494</v>
      </c>
      <c r="O1087" s="223">
        <v>1.0</v>
      </c>
      <c r="P1087" s="224">
        <f t="shared" si="1"/>
        <v>0.301952013</v>
      </c>
      <c r="Q1087" s="214" t="str">
        <f t="shared" si="2"/>
        <v>Medium</v>
      </c>
    </row>
    <row r="1088" ht="15.75" customHeight="1">
      <c r="A1088" s="214" t="s">
        <v>1662</v>
      </c>
      <c r="B1088" s="216">
        <v>3189.0</v>
      </c>
      <c r="C1088" s="216">
        <v>1180.0</v>
      </c>
      <c r="D1088" s="217">
        <v>19.0</v>
      </c>
      <c r="E1088" s="219" t="s">
        <v>242</v>
      </c>
      <c r="F1088" s="219" t="s">
        <v>357</v>
      </c>
      <c r="G1088" s="214" t="s">
        <v>350</v>
      </c>
      <c r="H1088" s="221">
        <v>44561.0</v>
      </c>
      <c r="I1088" s="219" t="s">
        <v>1663</v>
      </c>
      <c r="J1088" s="219" t="s">
        <v>223</v>
      </c>
      <c r="K1088" s="219" t="s">
        <v>428</v>
      </c>
      <c r="L1088" s="214" t="s">
        <v>452</v>
      </c>
      <c r="M1088" s="222">
        <v>2021.0</v>
      </c>
      <c r="N1088" s="214" t="s">
        <v>400</v>
      </c>
      <c r="O1088" s="223">
        <v>4.0</v>
      </c>
      <c r="P1088" s="224">
        <f t="shared" si="1"/>
        <v>0.3700219505</v>
      </c>
      <c r="Q1088" s="214" t="str">
        <f t="shared" si="2"/>
        <v>Medium</v>
      </c>
    </row>
    <row r="1089" ht="15.75" customHeight="1">
      <c r="A1089" s="214" t="s">
        <v>1664</v>
      </c>
      <c r="B1089" s="216">
        <v>2684.0</v>
      </c>
      <c r="C1089" s="216">
        <v>713.0</v>
      </c>
      <c r="D1089" s="217">
        <v>2.0</v>
      </c>
      <c r="E1089" s="219" t="s">
        <v>157</v>
      </c>
      <c r="F1089" s="219" t="s">
        <v>355</v>
      </c>
      <c r="G1089" s="214" t="s">
        <v>392</v>
      </c>
      <c r="H1089" s="221">
        <v>45458.0</v>
      </c>
      <c r="I1089" s="219" t="s">
        <v>1665</v>
      </c>
      <c r="J1089" s="219" t="s">
        <v>223</v>
      </c>
      <c r="K1089" s="219" t="s">
        <v>428</v>
      </c>
      <c r="L1089" s="214" t="s">
        <v>481</v>
      </c>
      <c r="M1089" s="222">
        <v>2024.0</v>
      </c>
      <c r="N1089" s="214" t="s">
        <v>396</v>
      </c>
      <c r="O1089" s="223">
        <v>2.0</v>
      </c>
      <c r="P1089" s="224">
        <f t="shared" si="1"/>
        <v>0.2656482861</v>
      </c>
      <c r="Q1089" s="214" t="str">
        <f t="shared" si="2"/>
        <v>Medium</v>
      </c>
    </row>
    <row r="1090" ht="15.75" customHeight="1">
      <c r="A1090" s="214" t="s">
        <v>1664</v>
      </c>
      <c r="B1090" s="216">
        <v>2684.0</v>
      </c>
      <c r="C1090" s="216">
        <v>713.0</v>
      </c>
      <c r="D1090" s="217">
        <v>2.0</v>
      </c>
      <c r="E1090" s="219" t="s">
        <v>157</v>
      </c>
      <c r="F1090" s="219" t="s">
        <v>355</v>
      </c>
      <c r="G1090" s="214" t="s">
        <v>392</v>
      </c>
      <c r="H1090" s="221">
        <v>44717.0</v>
      </c>
      <c r="I1090" s="219" t="s">
        <v>1666</v>
      </c>
      <c r="J1090" s="219" t="s">
        <v>223</v>
      </c>
      <c r="K1090" s="219" t="s">
        <v>402</v>
      </c>
      <c r="L1090" s="214" t="s">
        <v>458</v>
      </c>
      <c r="M1090" s="222">
        <v>2022.0</v>
      </c>
      <c r="N1090" s="214" t="s">
        <v>396</v>
      </c>
      <c r="O1090" s="223">
        <v>2.0</v>
      </c>
      <c r="P1090" s="224">
        <f t="shared" si="1"/>
        <v>0.2656482861</v>
      </c>
      <c r="Q1090" s="214" t="str">
        <f t="shared" si="2"/>
        <v>Medium</v>
      </c>
    </row>
    <row r="1091" ht="15.75" customHeight="1">
      <c r="A1091" s="214" t="s">
        <v>1664</v>
      </c>
      <c r="B1091" s="216">
        <v>2684.0</v>
      </c>
      <c r="C1091" s="216">
        <v>713.0</v>
      </c>
      <c r="D1091" s="217">
        <v>2.0</v>
      </c>
      <c r="E1091" s="219" t="s">
        <v>157</v>
      </c>
      <c r="F1091" s="219" t="s">
        <v>355</v>
      </c>
      <c r="G1091" s="214" t="s">
        <v>392</v>
      </c>
      <c r="H1091" s="221">
        <v>43962.0</v>
      </c>
      <c r="I1091" s="219" t="s">
        <v>1667</v>
      </c>
      <c r="J1091" s="219" t="s">
        <v>241</v>
      </c>
      <c r="K1091" s="219" t="s">
        <v>493</v>
      </c>
      <c r="L1091" s="214" t="s">
        <v>419</v>
      </c>
      <c r="M1091" s="222">
        <v>2020.0</v>
      </c>
      <c r="N1091" s="214" t="s">
        <v>411</v>
      </c>
      <c r="O1091" s="223">
        <v>2.0</v>
      </c>
      <c r="P1091" s="224">
        <f t="shared" si="1"/>
        <v>0.2656482861</v>
      </c>
      <c r="Q1091" s="214" t="str">
        <f t="shared" si="2"/>
        <v>Medium</v>
      </c>
    </row>
    <row r="1092" ht="15.75" customHeight="1">
      <c r="A1092" s="214" t="s">
        <v>1668</v>
      </c>
      <c r="B1092" s="216">
        <v>7626.0</v>
      </c>
      <c r="C1092" s="216">
        <v>229.0</v>
      </c>
      <c r="D1092" s="217">
        <v>5.0</v>
      </c>
      <c r="E1092" s="219" t="s">
        <v>242</v>
      </c>
      <c r="F1092" s="219" t="s">
        <v>356</v>
      </c>
      <c r="G1092" s="214" t="s">
        <v>406</v>
      </c>
      <c r="H1092" s="221">
        <v>45333.0</v>
      </c>
      <c r="I1092" s="219" t="s">
        <v>1669</v>
      </c>
      <c r="J1092" s="219" t="s">
        <v>271</v>
      </c>
      <c r="K1092" s="219" t="s">
        <v>449</v>
      </c>
      <c r="L1092" s="214" t="s">
        <v>478</v>
      </c>
      <c r="M1092" s="222">
        <v>2024.0</v>
      </c>
      <c r="N1092" s="214" t="s">
        <v>494</v>
      </c>
      <c r="O1092" s="223">
        <v>1.0</v>
      </c>
      <c r="P1092" s="224">
        <f t="shared" si="1"/>
        <v>0.03002884868</v>
      </c>
      <c r="Q1092" s="214" t="str">
        <f t="shared" si="2"/>
        <v>High</v>
      </c>
    </row>
    <row r="1093" ht="15.75" customHeight="1">
      <c r="A1093" s="214" t="s">
        <v>1668</v>
      </c>
      <c r="B1093" s="216">
        <v>7626.0</v>
      </c>
      <c r="C1093" s="216">
        <v>229.0</v>
      </c>
      <c r="D1093" s="217">
        <v>5.0</v>
      </c>
      <c r="E1093" s="219" t="s">
        <v>242</v>
      </c>
      <c r="F1093" s="219" t="s">
        <v>356</v>
      </c>
      <c r="G1093" s="214" t="s">
        <v>406</v>
      </c>
      <c r="H1093" s="221">
        <v>44160.0</v>
      </c>
      <c r="I1093" s="219" t="s">
        <v>1670</v>
      </c>
      <c r="J1093" s="219" t="s">
        <v>313</v>
      </c>
      <c r="K1093" s="219" t="s">
        <v>512</v>
      </c>
      <c r="L1093" s="214" t="s">
        <v>436</v>
      </c>
      <c r="M1093" s="222">
        <v>2020.0</v>
      </c>
      <c r="N1093" s="214" t="s">
        <v>425</v>
      </c>
      <c r="O1093" s="223">
        <v>4.0</v>
      </c>
      <c r="P1093" s="224">
        <f t="shared" si="1"/>
        <v>0.03002884868</v>
      </c>
      <c r="Q1093" s="214" t="str">
        <f t="shared" si="2"/>
        <v>High</v>
      </c>
    </row>
    <row r="1094" ht="15.75" customHeight="1">
      <c r="A1094" s="214" t="s">
        <v>1671</v>
      </c>
      <c r="B1094" s="216">
        <v>6669.0</v>
      </c>
      <c r="C1094" s="216">
        <v>3063.0</v>
      </c>
      <c r="D1094" s="217">
        <v>19.0</v>
      </c>
      <c r="E1094" s="219" t="s">
        <v>157</v>
      </c>
      <c r="F1094" s="219" t="s">
        <v>354</v>
      </c>
      <c r="G1094" s="214" t="s">
        <v>392</v>
      </c>
      <c r="H1094" s="221">
        <v>45150.0</v>
      </c>
      <c r="I1094" s="219" t="s">
        <v>1672</v>
      </c>
      <c r="J1094" s="219" t="s">
        <v>313</v>
      </c>
      <c r="K1094" s="219" t="s">
        <v>518</v>
      </c>
      <c r="L1094" s="214" t="s">
        <v>472</v>
      </c>
      <c r="M1094" s="222">
        <v>2023.0</v>
      </c>
      <c r="N1094" s="214" t="s">
        <v>523</v>
      </c>
      <c r="O1094" s="223">
        <v>3.0</v>
      </c>
      <c r="P1094" s="224">
        <f t="shared" si="1"/>
        <v>0.4592892488</v>
      </c>
      <c r="Q1094" s="214" t="str">
        <f t="shared" si="2"/>
        <v>High</v>
      </c>
    </row>
    <row r="1095" ht="15.75" customHeight="1">
      <c r="A1095" s="214" t="s">
        <v>1673</v>
      </c>
      <c r="B1095" s="216">
        <v>6123.0</v>
      </c>
      <c r="C1095" s="216">
        <v>1686.0</v>
      </c>
      <c r="D1095" s="217">
        <v>3.0</v>
      </c>
      <c r="E1095" s="219" t="s">
        <v>242</v>
      </c>
      <c r="F1095" s="219" t="s">
        <v>317</v>
      </c>
      <c r="G1095" s="214" t="s">
        <v>350</v>
      </c>
      <c r="H1095" s="221">
        <v>44687.0</v>
      </c>
      <c r="I1095" s="219" t="s">
        <v>1674</v>
      </c>
      <c r="J1095" s="219" t="s">
        <v>313</v>
      </c>
      <c r="K1095" s="219" t="s">
        <v>518</v>
      </c>
      <c r="L1095" s="214" t="s">
        <v>457</v>
      </c>
      <c r="M1095" s="222">
        <v>2022.0</v>
      </c>
      <c r="N1095" s="214" t="s">
        <v>411</v>
      </c>
      <c r="O1095" s="223">
        <v>2.0</v>
      </c>
      <c r="P1095" s="224">
        <f t="shared" si="1"/>
        <v>0.275355218</v>
      </c>
      <c r="Q1095" s="214" t="str">
        <f t="shared" si="2"/>
        <v>High</v>
      </c>
    </row>
    <row r="1096" ht="15.75" customHeight="1">
      <c r="A1096" s="214" t="s">
        <v>1675</v>
      </c>
      <c r="B1096" s="216">
        <v>3265.0</v>
      </c>
      <c r="C1096" s="216">
        <v>1390.0</v>
      </c>
      <c r="D1096" s="217">
        <v>16.0</v>
      </c>
      <c r="E1096" s="219" t="s">
        <v>242</v>
      </c>
      <c r="F1096" s="219" t="s">
        <v>357</v>
      </c>
      <c r="G1096" s="214" t="s">
        <v>350</v>
      </c>
      <c r="H1096" s="221">
        <v>45308.0</v>
      </c>
      <c r="I1096" s="219" t="s">
        <v>1676</v>
      </c>
      <c r="J1096" s="219" t="s">
        <v>117</v>
      </c>
      <c r="K1096" s="219" t="s">
        <v>423</v>
      </c>
      <c r="L1096" s="214" t="s">
        <v>477</v>
      </c>
      <c r="M1096" s="222">
        <v>2024.0</v>
      </c>
      <c r="N1096" s="214" t="s">
        <v>497</v>
      </c>
      <c r="O1096" s="223">
        <v>1.0</v>
      </c>
      <c r="P1096" s="224">
        <f t="shared" si="1"/>
        <v>0.4257274119</v>
      </c>
      <c r="Q1096" s="214" t="str">
        <f t="shared" si="2"/>
        <v>Medium</v>
      </c>
    </row>
    <row r="1097" ht="15.75" customHeight="1">
      <c r="A1097" s="214" t="s">
        <v>1677</v>
      </c>
      <c r="B1097" s="216">
        <v>8104.0</v>
      </c>
      <c r="C1097" s="216">
        <v>1039.0</v>
      </c>
      <c r="D1097" s="217">
        <v>6.0</v>
      </c>
      <c r="E1097" s="219" t="s">
        <v>242</v>
      </c>
      <c r="F1097" s="219" t="s">
        <v>317</v>
      </c>
      <c r="G1097" s="214" t="s">
        <v>405</v>
      </c>
      <c r="H1097" s="221">
        <v>44524.0</v>
      </c>
      <c r="I1097" s="219" t="s">
        <v>1678</v>
      </c>
      <c r="J1097" s="219" t="s">
        <v>159</v>
      </c>
      <c r="K1097" s="219" t="s">
        <v>409</v>
      </c>
      <c r="L1097" s="214" t="s">
        <v>451</v>
      </c>
      <c r="M1097" s="222">
        <v>2021.0</v>
      </c>
      <c r="N1097" s="214" t="s">
        <v>425</v>
      </c>
      <c r="O1097" s="223">
        <v>4.0</v>
      </c>
      <c r="P1097" s="224">
        <f t="shared" si="1"/>
        <v>0.1282082922</v>
      </c>
      <c r="Q1097" s="214" t="str">
        <f t="shared" si="2"/>
        <v>High</v>
      </c>
    </row>
    <row r="1098" ht="15.75" customHeight="1">
      <c r="A1098" s="214" t="s">
        <v>1677</v>
      </c>
      <c r="B1098" s="216">
        <v>8104.0</v>
      </c>
      <c r="C1098" s="216">
        <v>1039.0</v>
      </c>
      <c r="D1098" s="217">
        <v>6.0</v>
      </c>
      <c r="E1098" s="219" t="s">
        <v>242</v>
      </c>
      <c r="F1098" s="219" t="s">
        <v>317</v>
      </c>
      <c r="G1098" s="214" t="s">
        <v>405</v>
      </c>
      <c r="H1098" s="221">
        <v>44475.0</v>
      </c>
      <c r="I1098" s="219" t="s">
        <v>1679</v>
      </c>
      <c r="J1098" s="219" t="s">
        <v>159</v>
      </c>
      <c r="K1098" s="219" t="s">
        <v>394</v>
      </c>
      <c r="L1098" s="214" t="s">
        <v>413</v>
      </c>
      <c r="M1098" s="222">
        <v>2021.0</v>
      </c>
      <c r="N1098" s="214" t="s">
        <v>414</v>
      </c>
      <c r="O1098" s="223">
        <v>4.0</v>
      </c>
      <c r="P1098" s="224">
        <f t="shared" si="1"/>
        <v>0.1282082922</v>
      </c>
      <c r="Q1098" s="214" t="str">
        <f t="shared" si="2"/>
        <v>High</v>
      </c>
    </row>
    <row r="1099" ht="15.75" customHeight="1">
      <c r="A1099" s="214" t="s">
        <v>1677</v>
      </c>
      <c r="B1099" s="216">
        <v>8104.0</v>
      </c>
      <c r="C1099" s="216">
        <v>1039.0</v>
      </c>
      <c r="D1099" s="217">
        <v>6.0</v>
      </c>
      <c r="E1099" s="219" t="s">
        <v>242</v>
      </c>
      <c r="F1099" s="219" t="s">
        <v>317</v>
      </c>
      <c r="G1099" s="214" t="s">
        <v>405</v>
      </c>
      <c r="H1099" s="221">
        <v>45684.0</v>
      </c>
      <c r="I1099" s="219" t="s">
        <v>1680</v>
      </c>
      <c r="J1099" s="219" t="s">
        <v>117</v>
      </c>
      <c r="K1099" s="219" t="s">
        <v>508</v>
      </c>
      <c r="L1099" s="214" t="s">
        <v>487</v>
      </c>
      <c r="M1099" s="222">
        <v>2025.0</v>
      </c>
      <c r="N1099" s="214" t="s">
        <v>497</v>
      </c>
      <c r="O1099" s="223">
        <v>1.0</v>
      </c>
      <c r="P1099" s="224">
        <f t="shared" si="1"/>
        <v>0.1282082922</v>
      </c>
      <c r="Q1099" s="214" t="str">
        <f t="shared" si="2"/>
        <v>High</v>
      </c>
    </row>
    <row r="1100" ht="15.75" customHeight="1">
      <c r="A1100" s="214" t="s">
        <v>1681</v>
      </c>
      <c r="B1100" s="216">
        <v>847.0</v>
      </c>
      <c r="C1100" s="216">
        <v>355.0</v>
      </c>
      <c r="D1100" s="217">
        <v>17.0</v>
      </c>
      <c r="E1100" s="219" t="s">
        <v>216</v>
      </c>
      <c r="F1100" s="219" t="s">
        <v>344</v>
      </c>
      <c r="G1100" s="214" t="s">
        <v>405</v>
      </c>
      <c r="H1100" s="221">
        <v>44704.0</v>
      </c>
      <c r="I1100" s="219" t="s">
        <v>1682</v>
      </c>
      <c r="J1100" s="219" t="s">
        <v>223</v>
      </c>
      <c r="K1100" s="219" t="s">
        <v>402</v>
      </c>
      <c r="L1100" s="214" t="s">
        <v>457</v>
      </c>
      <c r="M1100" s="222">
        <v>2022.0</v>
      </c>
      <c r="N1100" s="214" t="s">
        <v>411</v>
      </c>
      <c r="O1100" s="223">
        <v>2.0</v>
      </c>
      <c r="P1100" s="224">
        <f t="shared" si="1"/>
        <v>0.4191263282</v>
      </c>
      <c r="Q1100" s="214" t="str">
        <f t="shared" si="2"/>
        <v>Medium</v>
      </c>
    </row>
    <row r="1101" ht="15.75" customHeight="1">
      <c r="A1101" s="214" t="s">
        <v>1681</v>
      </c>
      <c r="B1101" s="216">
        <v>847.0</v>
      </c>
      <c r="C1101" s="216">
        <v>355.0</v>
      </c>
      <c r="D1101" s="217">
        <v>17.0</v>
      </c>
      <c r="E1101" s="219" t="s">
        <v>216</v>
      </c>
      <c r="F1101" s="219" t="s">
        <v>344</v>
      </c>
      <c r="G1101" s="214" t="s">
        <v>405</v>
      </c>
      <c r="H1101" s="221">
        <v>45258.0</v>
      </c>
      <c r="I1101" s="219" t="s">
        <v>1683</v>
      </c>
      <c r="J1101" s="219" t="s">
        <v>241</v>
      </c>
      <c r="K1101" s="219" t="s">
        <v>504</v>
      </c>
      <c r="L1101" s="214" t="s">
        <v>429</v>
      </c>
      <c r="M1101" s="222">
        <v>2023.0</v>
      </c>
      <c r="N1101" s="214" t="s">
        <v>425</v>
      </c>
      <c r="O1101" s="223">
        <v>4.0</v>
      </c>
      <c r="P1101" s="224">
        <f t="shared" si="1"/>
        <v>0.4191263282</v>
      </c>
      <c r="Q1101" s="214" t="str">
        <f t="shared" si="2"/>
        <v>Medium</v>
      </c>
    </row>
    <row r="1102" ht="15.75" customHeight="1">
      <c r="A1102" s="214" t="s">
        <v>1681</v>
      </c>
      <c r="B1102" s="216">
        <v>847.0</v>
      </c>
      <c r="C1102" s="216">
        <v>355.0</v>
      </c>
      <c r="D1102" s="217">
        <v>17.0</v>
      </c>
      <c r="E1102" s="219" t="s">
        <v>216</v>
      </c>
      <c r="F1102" s="219" t="s">
        <v>344</v>
      </c>
      <c r="G1102" s="214" t="s">
        <v>405</v>
      </c>
      <c r="H1102" s="221">
        <v>44944.0</v>
      </c>
      <c r="I1102" s="219" t="s">
        <v>1684</v>
      </c>
      <c r="J1102" s="219" t="s">
        <v>117</v>
      </c>
      <c r="K1102" s="219" t="s">
        <v>508</v>
      </c>
      <c r="L1102" s="214" t="s">
        <v>465</v>
      </c>
      <c r="M1102" s="222">
        <v>2023.0</v>
      </c>
      <c r="N1102" s="214" t="s">
        <v>497</v>
      </c>
      <c r="O1102" s="223">
        <v>1.0</v>
      </c>
      <c r="P1102" s="224">
        <f t="shared" si="1"/>
        <v>0.4191263282</v>
      </c>
      <c r="Q1102" s="214" t="str">
        <f t="shared" si="2"/>
        <v>Medium</v>
      </c>
    </row>
    <row r="1103" ht="15.75" customHeight="1">
      <c r="A1103" s="214" t="s">
        <v>1685</v>
      </c>
      <c r="B1103" s="216">
        <v>3129.0</v>
      </c>
      <c r="C1103" s="216">
        <v>55.0</v>
      </c>
      <c r="D1103" s="217">
        <v>9.0</v>
      </c>
      <c r="E1103" s="219" t="s">
        <v>216</v>
      </c>
      <c r="F1103" s="219" t="s">
        <v>361</v>
      </c>
      <c r="G1103" s="214" t="s">
        <v>351</v>
      </c>
      <c r="H1103" s="221">
        <v>44445.0</v>
      </c>
      <c r="I1103" s="219" t="s">
        <v>1686</v>
      </c>
      <c r="J1103" s="219" t="s">
        <v>271</v>
      </c>
      <c r="K1103" s="219" t="s">
        <v>568</v>
      </c>
      <c r="L1103" s="214" t="s">
        <v>450</v>
      </c>
      <c r="M1103" s="222">
        <v>2021.0</v>
      </c>
      <c r="N1103" s="214" t="s">
        <v>536</v>
      </c>
      <c r="O1103" s="223">
        <v>3.0</v>
      </c>
      <c r="P1103" s="224">
        <f t="shared" si="1"/>
        <v>0.0175775008</v>
      </c>
      <c r="Q1103" s="214" t="str">
        <f t="shared" si="2"/>
        <v>Medium</v>
      </c>
    </row>
    <row r="1104" ht="15.75" customHeight="1">
      <c r="A1104" s="214" t="s">
        <v>1685</v>
      </c>
      <c r="B1104" s="216">
        <v>7821.0</v>
      </c>
      <c r="C1104" s="216">
        <v>3821.0</v>
      </c>
      <c r="D1104" s="217">
        <v>13.0</v>
      </c>
      <c r="E1104" s="219" t="s">
        <v>157</v>
      </c>
      <c r="F1104" s="219" t="s">
        <v>360</v>
      </c>
      <c r="G1104" s="214" t="s">
        <v>406</v>
      </c>
      <c r="H1104" s="221">
        <v>44445.0</v>
      </c>
      <c r="I1104" s="219" t="s">
        <v>1686</v>
      </c>
      <c r="J1104" s="219" t="s">
        <v>271</v>
      </c>
      <c r="K1104" s="219" t="s">
        <v>568</v>
      </c>
      <c r="L1104" s="214" t="s">
        <v>450</v>
      </c>
      <c r="M1104" s="222">
        <v>2021.0</v>
      </c>
      <c r="N1104" s="214" t="s">
        <v>536</v>
      </c>
      <c r="O1104" s="223">
        <v>3.0</v>
      </c>
      <c r="P1104" s="224">
        <f t="shared" si="1"/>
        <v>0.4885564506</v>
      </c>
      <c r="Q1104" s="214" t="str">
        <f t="shared" si="2"/>
        <v>High</v>
      </c>
    </row>
    <row r="1105" ht="15.75" customHeight="1">
      <c r="A1105" s="214" t="s">
        <v>1687</v>
      </c>
      <c r="B1105" s="216">
        <v>9498.0</v>
      </c>
      <c r="C1105" s="216">
        <v>256.0</v>
      </c>
      <c r="D1105" s="217">
        <v>12.0</v>
      </c>
      <c r="E1105" s="219" t="s">
        <v>157</v>
      </c>
      <c r="F1105" s="219" t="s">
        <v>358</v>
      </c>
      <c r="G1105" s="214" t="s">
        <v>405</v>
      </c>
      <c r="H1105" s="221">
        <v>44249.0</v>
      </c>
      <c r="I1105" s="219" t="s">
        <v>1688</v>
      </c>
      <c r="J1105" s="219" t="s">
        <v>271</v>
      </c>
      <c r="K1105" s="219" t="s">
        <v>568</v>
      </c>
      <c r="L1105" s="214" t="s">
        <v>439</v>
      </c>
      <c r="M1105" s="222">
        <v>2021.0</v>
      </c>
      <c r="N1105" s="214" t="s">
        <v>494</v>
      </c>
      <c r="O1105" s="223">
        <v>1.0</v>
      </c>
      <c r="P1105" s="224">
        <f t="shared" si="1"/>
        <v>0.02695304275</v>
      </c>
      <c r="Q1105" s="214" t="str">
        <f t="shared" si="2"/>
        <v>High</v>
      </c>
    </row>
    <row r="1106" ht="15.75" customHeight="1">
      <c r="A1106" s="214" t="s">
        <v>1687</v>
      </c>
      <c r="B1106" s="216">
        <v>9498.0</v>
      </c>
      <c r="C1106" s="216">
        <v>256.0</v>
      </c>
      <c r="D1106" s="217">
        <v>12.0</v>
      </c>
      <c r="E1106" s="219" t="s">
        <v>157</v>
      </c>
      <c r="F1106" s="219" t="s">
        <v>358</v>
      </c>
      <c r="G1106" s="214" t="s">
        <v>405</v>
      </c>
      <c r="H1106" s="221">
        <v>44475.0</v>
      </c>
      <c r="I1106" s="219" t="s">
        <v>1689</v>
      </c>
      <c r="J1106" s="219" t="s">
        <v>223</v>
      </c>
      <c r="K1106" s="219" t="s">
        <v>428</v>
      </c>
      <c r="L1106" s="214" t="s">
        <v>413</v>
      </c>
      <c r="M1106" s="222">
        <v>2021.0</v>
      </c>
      <c r="N1106" s="214" t="s">
        <v>414</v>
      </c>
      <c r="O1106" s="223">
        <v>4.0</v>
      </c>
      <c r="P1106" s="224">
        <f t="shared" si="1"/>
        <v>0.02695304275</v>
      </c>
      <c r="Q1106" s="214" t="str">
        <f t="shared" si="2"/>
        <v>High</v>
      </c>
    </row>
    <row r="1107" ht="15.75" customHeight="1">
      <c r="A1107" s="214" t="s">
        <v>1690</v>
      </c>
      <c r="B1107" s="216">
        <v>5461.0</v>
      </c>
      <c r="C1107" s="216">
        <v>1214.0</v>
      </c>
      <c r="D1107" s="217">
        <v>7.0</v>
      </c>
      <c r="E1107" s="219" t="s">
        <v>216</v>
      </c>
      <c r="F1107" s="219" t="s">
        <v>347</v>
      </c>
      <c r="G1107" s="214" t="s">
        <v>350</v>
      </c>
      <c r="H1107" s="221">
        <v>43989.0</v>
      </c>
      <c r="I1107" s="219" t="s">
        <v>1691</v>
      </c>
      <c r="J1107" s="219" t="s">
        <v>223</v>
      </c>
      <c r="K1107" s="219" t="s">
        <v>473</v>
      </c>
      <c r="L1107" s="214" t="s">
        <v>421</v>
      </c>
      <c r="M1107" s="222">
        <v>2020.0</v>
      </c>
      <c r="N1107" s="214" t="s">
        <v>396</v>
      </c>
      <c r="O1107" s="223">
        <v>2.0</v>
      </c>
      <c r="P1107" s="224">
        <f t="shared" si="1"/>
        <v>0.2223036074</v>
      </c>
      <c r="Q1107" s="214" t="str">
        <f t="shared" si="2"/>
        <v>High</v>
      </c>
    </row>
    <row r="1108" ht="15.75" customHeight="1">
      <c r="A1108" s="214" t="s">
        <v>1692</v>
      </c>
      <c r="B1108" s="216">
        <v>3084.0</v>
      </c>
      <c r="C1108" s="216">
        <v>611.0</v>
      </c>
      <c r="D1108" s="217">
        <v>19.0</v>
      </c>
      <c r="E1108" s="219" t="s">
        <v>216</v>
      </c>
      <c r="F1108" s="219" t="s">
        <v>361</v>
      </c>
      <c r="G1108" s="214" t="s">
        <v>392</v>
      </c>
      <c r="H1108" s="221">
        <v>45433.0</v>
      </c>
      <c r="I1108" s="219" t="s">
        <v>1693</v>
      </c>
      <c r="J1108" s="219" t="s">
        <v>241</v>
      </c>
      <c r="K1108" s="219" t="s">
        <v>493</v>
      </c>
      <c r="L1108" s="214" t="s">
        <v>410</v>
      </c>
      <c r="M1108" s="222">
        <v>2024.0</v>
      </c>
      <c r="N1108" s="214" t="s">
        <v>411</v>
      </c>
      <c r="O1108" s="223">
        <v>2.0</v>
      </c>
      <c r="P1108" s="224">
        <f t="shared" si="1"/>
        <v>0.1981193256</v>
      </c>
      <c r="Q1108" s="214" t="str">
        <f t="shared" si="2"/>
        <v>Medium</v>
      </c>
    </row>
    <row r="1109" ht="15.75" customHeight="1">
      <c r="A1109" s="214" t="s">
        <v>1694</v>
      </c>
      <c r="B1109" s="216">
        <v>6087.0</v>
      </c>
      <c r="C1109" s="216">
        <v>3043.0</v>
      </c>
      <c r="D1109" s="217">
        <v>1.0</v>
      </c>
      <c r="E1109" s="219" t="s">
        <v>216</v>
      </c>
      <c r="F1109" s="219" t="s">
        <v>347</v>
      </c>
      <c r="G1109" s="214" t="s">
        <v>405</v>
      </c>
      <c r="H1109" s="221">
        <v>44048.0</v>
      </c>
      <c r="I1109" s="219" t="s">
        <v>1695</v>
      </c>
      <c r="J1109" s="219" t="s">
        <v>223</v>
      </c>
      <c r="K1109" s="219" t="s">
        <v>402</v>
      </c>
      <c r="L1109" s="214" t="s">
        <v>431</v>
      </c>
      <c r="M1109" s="222">
        <v>2020.0</v>
      </c>
      <c r="N1109" s="214" t="s">
        <v>523</v>
      </c>
      <c r="O1109" s="223">
        <v>3.0</v>
      </c>
      <c r="P1109" s="224">
        <f t="shared" si="1"/>
        <v>0.4999178577</v>
      </c>
      <c r="Q1109" s="214" t="str">
        <f t="shared" si="2"/>
        <v>High</v>
      </c>
    </row>
    <row r="1110" ht="15.75" customHeight="1">
      <c r="A1110" s="214" t="s">
        <v>1696</v>
      </c>
      <c r="B1110" s="216">
        <v>611.0</v>
      </c>
      <c r="C1110" s="216">
        <v>300.0</v>
      </c>
      <c r="D1110" s="217">
        <v>3.0</v>
      </c>
      <c r="E1110" s="219" t="s">
        <v>216</v>
      </c>
      <c r="F1110" s="219" t="s">
        <v>361</v>
      </c>
      <c r="G1110" s="214" t="s">
        <v>350</v>
      </c>
      <c r="H1110" s="221">
        <v>44119.0</v>
      </c>
      <c r="I1110" s="219" t="s">
        <v>1697</v>
      </c>
      <c r="J1110" s="219" t="s">
        <v>271</v>
      </c>
      <c r="K1110" s="219" t="s">
        <v>568</v>
      </c>
      <c r="L1110" s="214" t="s">
        <v>435</v>
      </c>
      <c r="M1110" s="222">
        <v>2020.0</v>
      </c>
      <c r="N1110" s="214" t="s">
        <v>414</v>
      </c>
      <c r="O1110" s="223">
        <v>4.0</v>
      </c>
      <c r="P1110" s="224">
        <f t="shared" si="1"/>
        <v>0.4909983633</v>
      </c>
      <c r="Q1110" s="214" t="str">
        <f t="shared" si="2"/>
        <v>Medium</v>
      </c>
    </row>
    <row r="1111" ht="15.75" customHeight="1">
      <c r="A1111" s="214" t="s">
        <v>1698</v>
      </c>
      <c r="B1111" s="216">
        <v>9909.0</v>
      </c>
      <c r="C1111" s="216">
        <v>2999.0</v>
      </c>
      <c r="D1111" s="217">
        <v>18.0</v>
      </c>
      <c r="E1111" s="219" t="s">
        <v>242</v>
      </c>
      <c r="F1111" s="219" t="s">
        <v>317</v>
      </c>
      <c r="G1111" s="214" t="s">
        <v>405</v>
      </c>
      <c r="H1111" s="221">
        <v>44331.0</v>
      </c>
      <c r="I1111" s="219" t="s">
        <v>1699</v>
      </c>
      <c r="J1111" s="219" t="s">
        <v>313</v>
      </c>
      <c r="K1111" s="219" t="s">
        <v>526</v>
      </c>
      <c r="L1111" s="214" t="s">
        <v>443</v>
      </c>
      <c r="M1111" s="222">
        <v>2021.0</v>
      </c>
      <c r="N1111" s="214" t="s">
        <v>411</v>
      </c>
      <c r="O1111" s="223">
        <v>2.0</v>
      </c>
      <c r="P1111" s="224">
        <f t="shared" si="1"/>
        <v>0.3026541528</v>
      </c>
      <c r="Q1111" s="214" t="str">
        <f t="shared" si="2"/>
        <v>High</v>
      </c>
    </row>
    <row r="1112" ht="15.75" customHeight="1">
      <c r="A1112" s="214" t="s">
        <v>1698</v>
      </c>
      <c r="B1112" s="216">
        <v>9909.0</v>
      </c>
      <c r="C1112" s="216">
        <v>2999.0</v>
      </c>
      <c r="D1112" s="217">
        <v>18.0</v>
      </c>
      <c r="E1112" s="219" t="s">
        <v>242</v>
      </c>
      <c r="F1112" s="219" t="s">
        <v>317</v>
      </c>
      <c r="G1112" s="214" t="s">
        <v>405</v>
      </c>
      <c r="H1112" s="221">
        <v>44574.0</v>
      </c>
      <c r="I1112" s="219" t="s">
        <v>1700</v>
      </c>
      <c r="J1112" s="219" t="s">
        <v>241</v>
      </c>
      <c r="K1112" s="219" t="s">
        <v>504</v>
      </c>
      <c r="L1112" s="214" t="s">
        <v>453</v>
      </c>
      <c r="M1112" s="222">
        <v>2022.0</v>
      </c>
      <c r="N1112" s="214" t="s">
        <v>497</v>
      </c>
      <c r="O1112" s="223">
        <v>1.0</v>
      </c>
      <c r="P1112" s="224">
        <f t="shared" si="1"/>
        <v>0.3026541528</v>
      </c>
      <c r="Q1112" s="214" t="str">
        <f t="shared" si="2"/>
        <v>High</v>
      </c>
    </row>
    <row r="1113" ht="15.75" customHeight="1">
      <c r="A1113" s="214" t="s">
        <v>1701</v>
      </c>
      <c r="B1113" s="216">
        <v>6485.0</v>
      </c>
      <c r="C1113" s="216">
        <v>3178.0</v>
      </c>
      <c r="D1113" s="217">
        <v>18.0</v>
      </c>
      <c r="E1113" s="219" t="s">
        <v>216</v>
      </c>
      <c r="F1113" s="219" t="s">
        <v>347</v>
      </c>
      <c r="G1113" s="214" t="s">
        <v>392</v>
      </c>
      <c r="H1113" s="221">
        <v>45125.0</v>
      </c>
      <c r="I1113" s="219" t="s">
        <v>1702</v>
      </c>
      <c r="J1113" s="219" t="s">
        <v>313</v>
      </c>
      <c r="K1113" s="219" t="s">
        <v>512</v>
      </c>
      <c r="L1113" s="214" t="s">
        <v>471</v>
      </c>
      <c r="M1113" s="222">
        <v>2023.0</v>
      </c>
      <c r="N1113" s="214" t="s">
        <v>404</v>
      </c>
      <c r="O1113" s="223">
        <v>3.0</v>
      </c>
      <c r="P1113" s="224">
        <f t="shared" si="1"/>
        <v>0.4900539707</v>
      </c>
      <c r="Q1113" s="214" t="str">
        <f t="shared" si="2"/>
        <v>High</v>
      </c>
    </row>
    <row r="1114" ht="15.75" customHeight="1">
      <c r="A1114" s="214" t="s">
        <v>1703</v>
      </c>
      <c r="B1114" s="216">
        <v>7259.0</v>
      </c>
      <c r="C1114" s="216">
        <v>1969.0</v>
      </c>
      <c r="D1114" s="217">
        <v>10.0</v>
      </c>
      <c r="E1114" s="219" t="s">
        <v>157</v>
      </c>
      <c r="F1114" s="219" t="s">
        <v>360</v>
      </c>
      <c r="G1114" s="214" t="s">
        <v>350</v>
      </c>
      <c r="H1114" s="221">
        <v>44903.0</v>
      </c>
      <c r="I1114" s="219" t="s">
        <v>1704</v>
      </c>
      <c r="J1114" s="219" t="s">
        <v>271</v>
      </c>
      <c r="K1114" s="219" t="s">
        <v>449</v>
      </c>
      <c r="L1114" s="214" t="s">
        <v>464</v>
      </c>
      <c r="M1114" s="222">
        <v>2022.0</v>
      </c>
      <c r="N1114" s="214" t="s">
        <v>400</v>
      </c>
      <c r="O1114" s="223">
        <v>4.0</v>
      </c>
      <c r="P1114" s="224">
        <f t="shared" si="1"/>
        <v>0.2712494834</v>
      </c>
      <c r="Q1114" s="214" t="str">
        <f t="shared" si="2"/>
        <v>High</v>
      </c>
    </row>
    <row r="1115" ht="15.75" customHeight="1">
      <c r="A1115" s="214" t="s">
        <v>1705</v>
      </c>
      <c r="B1115" s="216">
        <v>3333.0</v>
      </c>
      <c r="C1115" s="216">
        <v>700.0</v>
      </c>
      <c r="D1115" s="217">
        <v>18.0</v>
      </c>
      <c r="E1115" s="219" t="s">
        <v>157</v>
      </c>
      <c r="F1115" s="219" t="s">
        <v>354</v>
      </c>
      <c r="G1115" s="214" t="s">
        <v>405</v>
      </c>
      <c r="H1115" s="221">
        <v>45033.0</v>
      </c>
      <c r="I1115" s="219" t="s">
        <v>1706</v>
      </c>
      <c r="J1115" s="219" t="s">
        <v>159</v>
      </c>
      <c r="K1115" s="219" t="s">
        <v>394</v>
      </c>
      <c r="L1115" s="214" t="s">
        <v>468</v>
      </c>
      <c r="M1115" s="222">
        <v>2023.0</v>
      </c>
      <c r="N1115" s="214" t="s">
        <v>542</v>
      </c>
      <c r="O1115" s="223">
        <v>2.0</v>
      </c>
      <c r="P1115" s="224">
        <f t="shared" si="1"/>
        <v>0.2100210021</v>
      </c>
      <c r="Q1115" s="214" t="str">
        <f t="shared" si="2"/>
        <v>Medium</v>
      </c>
    </row>
    <row r="1116" ht="15.75" customHeight="1">
      <c r="A1116" s="214" t="s">
        <v>1707</v>
      </c>
      <c r="B1116" s="216">
        <v>7786.0</v>
      </c>
      <c r="C1116" s="216">
        <v>1202.0</v>
      </c>
      <c r="D1116" s="217">
        <v>4.0</v>
      </c>
      <c r="E1116" s="219" t="s">
        <v>216</v>
      </c>
      <c r="F1116" s="219" t="s">
        <v>347</v>
      </c>
      <c r="G1116" s="214" t="s">
        <v>406</v>
      </c>
      <c r="H1116" s="221">
        <v>44005.0</v>
      </c>
      <c r="I1116" s="219" t="s">
        <v>1708</v>
      </c>
      <c r="J1116" s="219" t="s">
        <v>271</v>
      </c>
      <c r="K1116" s="219" t="s">
        <v>568</v>
      </c>
      <c r="L1116" s="214" t="s">
        <v>421</v>
      </c>
      <c r="M1116" s="222">
        <v>2020.0</v>
      </c>
      <c r="N1116" s="214" t="s">
        <v>396</v>
      </c>
      <c r="O1116" s="223">
        <v>2.0</v>
      </c>
      <c r="P1116" s="224">
        <f t="shared" si="1"/>
        <v>0.1543796558</v>
      </c>
      <c r="Q1116" s="214" t="str">
        <f t="shared" si="2"/>
        <v>High</v>
      </c>
    </row>
    <row r="1117" ht="15.75" customHeight="1">
      <c r="A1117" s="214" t="s">
        <v>1709</v>
      </c>
      <c r="B1117" s="216">
        <v>7644.0</v>
      </c>
      <c r="C1117" s="216">
        <v>2428.0</v>
      </c>
      <c r="D1117" s="217">
        <v>6.0</v>
      </c>
      <c r="E1117" s="219" t="s">
        <v>157</v>
      </c>
      <c r="F1117" s="219" t="s">
        <v>358</v>
      </c>
      <c r="G1117" s="214" t="s">
        <v>351</v>
      </c>
      <c r="H1117" s="221">
        <v>44581.0</v>
      </c>
      <c r="I1117" s="219" t="s">
        <v>1710</v>
      </c>
      <c r="J1117" s="219" t="s">
        <v>271</v>
      </c>
      <c r="K1117" s="219" t="s">
        <v>449</v>
      </c>
      <c r="L1117" s="214" t="s">
        <v>453</v>
      </c>
      <c r="M1117" s="222">
        <v>2022.0</v>
      </c>
      <c r="N1117" s="214" t="s">
        <v>497</v>
      </c>
      <c r="O1117" s="223">
        <v>1.0</v>
      </c>
      <c r="P1117" s="224">
        <f t="shared" si="1"/>
        <v>0.3176347462</v>
      </c>
      <c r="Q1117" s="214" t="str">
        <f t="shared" si="2"/>
        <v>High</v>
      </c>
    </row>
    <row r="1118" ht="15.75" customHeight="1">
      <c r="A1118" s="214" t="s">
        <v>1711</v>
      </c>
      <c r="B1118" s="216">
        <v>1476.0</v>
      </c>
      <c r="C1118" s="216">
        <v>247.0</v>
      </c>
      <c r="D1118" s="217">
        <v>5.0</v>
      </c>
      <c r="E1118" s="219" t="s">
        <v>216</v>
      </c>
      <c r="F1118" s="219" t="s">
        <v>361</v>
      </c>
      <c r="G1118" s="214" t="s">
        <v>405</v>
      </c>
      <c r="H1118" s="221">
        <v>45248.0</v>
      </c>
      <c r="I1118" s="219" t="s">
        <v>1712</v>
      </c>
      <c r="J1118" s="219" t="s">
        <v>117</v>
      </c>
      <c r="K1118" s="219" t="s">
        <v>423</v>
      </c>
      <c r="L1118" s="214" t="s">
        <v>429</v>
      </c>
      <c r="M1118" s="222">
        <v>2023.0</v>
      </c>
      <c r="N1118" s="214" t="s">
        <v>425</v>
      </c>
      <c r="O1118" s="223">
        <v>4.0</v>
      </c>
      <c r="P1118" s="224">
        <f t="shared" si="1"/>
        <v>0.1673441734</v>
      </c>
      <c r="Q1118" s="214" t="str">
        <f t="shared" si="2"/>
        <v>Medium</v>
      </c>
    </row>
    <row r="1119" ht="15.75" customHeight="1">
      <c r="A1119" s="214" t="s">
        <v>1711</v>
      </c>
      <c r="B1119" s="216">
        <v>1476.0</v>
      </c>
      <c r="C1119" s="216">
        <v>247.0</v>
      </c>
      <c r="D1119" s="217">
        <v>5.0</v>
      </c>
      <c r="E1119" s="219" t="s">
        <v>216</v>
      </c>
      <c r="F1119" s="219" t="s">
        <v>361</v>
      </c>
      <c r="G1119" s="214" t="s">
        <v>405</v>
      </c>
      <c r="H1119" s="221">
        <v>44580.0</v>
      </c>
      <c r="I1119" s="219" t="s">
        <v>1713</v>
      </c>
      <c r="J1119" s="219" t="s">
        <v>117</v>
      </c>
      <c r="K1119" s="219" t="s">
        <v>496</v>
      </c>
      <c r="L1119" s="214" t="s">
        <v>453</v>
      </c>
      <c r="M1119" s="222">
        <v>2022.0</v>
      </c>
      <c r="N1119" s="214" t="s">
        <v>497</v>
      </c>
      <c r="O1119" s="223">
        <v>1.0</v>
      </c>
      <c r="P1119" s="224">
        <f t="shared" si="1"/>
        <v>0.1673441734</v>
      </c>
      <c r="Q1119" s="214" t="str">
        <f t="shared" si="2"/>
        <v>Medium</v>
      </c>
    </row>
    <row r="1120" ht="15.75" customHeight="1">
      <c r="A1120" s="214" t="s">
        <v>1714</v>
      </c>
      <c r="B1120" s="216">
        <v>3445.0</v>
      </c>
      <c r="C1120" s="216">
        <v>1405.0</v>
      </c>
      <c r="D1120" s="217">
        <v>16.0</v>
      </c>
      <c r="E1120" s="219" t="s">
        <v>216</v>
      </c>
      <c r="F1120" s="219" t="s">
        <v>347</v>
      </c>
      <c r="G1120" s="214" t="s">
        <v>406</v>
      </c>
      <c r="H1120" s="221">
        <v>44095.0</v>
      </c>
      <c r="I1120" s="219" t="s">
        <v>1715</v>
      </c>
      <c r="J1120" s="219" t="s">
        <v>117</v>
      </c>
      <c r="K1120" s="219" t="s">
        <v>508</v>
      </c>
      <c r="L1120" s="214" t="s">
        <v>434</v>
      </c>
      <c r="M1120" s="222">
        <v>2020.0</v>
      </c>
      <c r="N1120" s="214" t="s">
        <v>536</v>
      </c>
      <c r="O1120" s="223">
        <v>3.0</v>
      </c>
      <c r="P1120" s="224">
        <f t="shared" si="1"/>
        <v>0.4078374456</v>
      </c>
      <c r="Q1120" s="214" t="str">
        <f t="shared" si="2"/>
        <v>Medium</v>
      </c>
    </row>
    <row r="1121" ht="15.75" customHeight="1">
      <c r="A1121" s="214" t="s">
        <v>1714</v>
      </c>
      <c r="B1121" s="216">
        <v>9837.0</v>
      </c>
      <c r="C1121" s="216">
        <v>384.0</v>
      </c>
      <c r="D1121" s="217">
        <v>1.0</v>
      </c>
      <c r="E1121" s="219" t="s">
        <v>157</v>
      </c>
      <c r="F1121" s="219" t="s">
        <v>360</v>
      </c>
      <c r="G1121" s="214" t="s">
        <v>392</v>
      </c>
      <c r="H1121" s="221">
        <v>44095.0</v>
      </c>
      <c r="I1121" s="219" t="s">
        <v>1715</v>
      </c>
      <c r="J1121" s="219" t="s">
        <v>117</v>
      </c>
      <c r="K1121" s="219" t="s">
        <v>508</v>
      </c>
      <c r="L1121" s="214" t="s">
        <v>434</v>
      </c>
      <c r="M1121" s="222">
        <v>2020.0</v>
      </c>
      <c r="N1121" s="214" t="s">
        <v>536</v>
      </c>
      <c r="O1121" s="223">
        <v>3.0</v>
      </c>
      <c r="P1121" s="224">
        <f t="shared" si="1"/>
        <v>0.03903629155</v>
      </c>
      <c r="Q1121" s="214" t="str">
        <f t="shared" si="2"/>
        <v>High</v>
      </c>
    </row>
    <row r="1122" ht="15.75" customHeight="1">
      <c r="A1122" s="214" t="s">
        <v>1716</v>
      </c>
      <c r="B1122" s="216">
        <v>1314.0</v>
      </c>
      <c r="C1122" s="216">
        <v>457.0</v>
      </c>
      <c r="D1122" s="217">
        <v>8.0</v>
      </c>
      <c r="E1122" s="219" t="s">
        <v>216</v>
      </c>
      <c r="F1122" s="219" t="s">
        <v>347</v>
      </c>
      <c r="G1122" s="214" t="s">
        <v>406</v>
      </c>
      <c r="H1122" s="221">
        <v>44358.0</v>
      </c>
      <c r="I1122" s="219" t="s">
        <v>1717</v>
      </c>
      <c r="J1122" s="219" t="s">
        <v>117</v>
      </c>
      <c r="K1122" s="219" t="s">
        <v>496</v>
      </c>
      <c r="L1122" s="214" t="s">
        <v>444</v>
      </c>
      <c r="M1122" s="222">
        <v>2021.0</v>
      </c>
      <c r="N1122" s="214" t="s">
        <v>396</v>
      </c>
      <c r="O1122" s="223">
        <v>2.0</v>
      </c>
      <c r="P1122" s="224">
        <f t="shared" si="1"/>
        <v>0.3477929985</v>
      </c>
      <c r="Q1122" s="214" t="str">
        <f t="shared" si="2"/>
        <v>Medium</v>
      </c>
    </row>
    <row r="1123" ht="15.75" customHeight="1">
      <c r="A1123" s="214" t="s">
        <v>1718</v>
      </c>
      <c r="B1123" s="216">
        <v>5951.0</v>
      </c>
      <c r="C1123" s="216">
        <v>936.0</v>
      </c>
      <c r="D1123" s="217">
        <v>6.0</v>
      </c>
      <c r="E1123" s="219" t="s">
        <v>157</v>
      </c>
      <c r="F1123" s="219" t="s">
        <v>360</v>
      </c>
      <c r="G1123" s="214" t="s">
        <v>351</v>
      </c>
      <c r="H1123" s="221">
        <v>45511.0</v>
      </c>
      <c r="I1123" s="219" t="s">
        <v>1719</v>
      </c>
      <c r="J1123" s="219" t="s">
        <v>241</v>
      </c>
      <c r="K1123" s="219" t="s">
        <v>493</v>
      </c>
      <c r="L1123" s="214" t="s">
        <v>483</v>
      </c>
      <c r="M1123" s="222">
        <v>2024.0</v>
      </c>
      <c r="N1123" s="214" t="s">
        <v>523</v>
      </c>
      <c r="O1123" s="223">
        <v>3.0</v>
      </c>
      <c r="P1123" s="224">
        <f t="shared" si="1"/>
        <v>0.15728449</v>
      </c>
      <c r="Q1123" s="214" t="str">
        <f t="shared" si="2"/>
        <v>High</v>
      </c>
    </row>
    <row r="1124" ht="15.75" customHeight="1">
      <c r="A1124" s="214" t="s">
        <v>1718</v>
      </c>
      <c r="B1124" s="216">
        <v>5951.0</v>
      </c>
      <c r="C1124" s="216">
        <v>936.0</v>
      </c>
      <c r="D1124" s="217">
        <v>6.0</v>
      </c>
      <c r="E1124" s="219" t="s">
        <v>157</v>
      </c>
      <c r="F1124" s="219" t="s">
        <v>360</v>
      </c>
      <c r="G1124" s="214" t="s">
        <v>351</v>
      </c>
      <c r="H1124" s="221">
        <v>44768.0</v>
      </c>
      <c r="I1124" s="219" t="s">
        <v>1720</v>
      </c>
      <c r="J1124" s="219" t="s">
        <v>313</v>
      </c>
      <c r="K1124" s="219" t="s">
        <v>512</v>
      </c>
      <c r="L1124" s="214" t="s">
        <v>460</v>
      </c>
      <c r="M1124" s="222">
        <v>2022.0</v>
      </c>
      <c r="N1124" s="214" t="s">
        <v>404</v>
      </c>
      <c r="O1124" s="223">
        <v>3.0</v>
      </c>
      <c r="P1124" s="224">
        <f t="shared" si="1"/>
        <v>0.15728449</v>
      </c>
      <c r="Q1124" s="214" t="str">
        <f t="shared" si="2"/>
        <v>High</v>
      </c>
    </row>
    <row r="1125" ht="15.75" customHeight="1">
      <c r="A1125" s="214" t="s">
        <v>1721</v>
      </c>
      <c r="B1125" s="216">
        <v>992.0</v>
      </c>
      <c r="C1125" s="216">
        <v>177.0</v>
      </c>
      <c r="D1125" s="217">
        <v>6.0</v>
      </c>
      <c r="E1125" s="219" t="s">
        <v>157</v>
      </c>
      <c r="F1125" s="219" t="s">
        <v>358</v>
      </c>
      <c r="G1125" s="214" t="s">
        <v>392</v>
      </c>
      <c r="H1125" s="221">
        <v>45304.0</v>
      </c>
      <c r="I1125" s="219" t="s">
        <v>1722</v>
      </c>
      <c r="J1125" s="219" t="s">
        <v>117</v>
      </c>
      <c r="K1125" s="219" t="s">
        <v>423</v>
      </c>
      <c r="L1125" s="214" t="s">
        <v>477</v>
      </c>
      <c r="M1125" s="222">
        <v>2024.0</v>
      </c>
      <c r="N1125" s="214" t="s">
        <v>497</v>
      </c>
      <c r="O1125" s="223">
        <v>1.0</v>
      </c>
      <c r="P1125" s="224">
        <f t="shared" si="1"/>
        <v>0.1784274194</v>
      </c>
      <c r="Q1125" s="214" t="str">
        <f t="shared" si="2"/>
        <v>Medium</v>
      </c>
    </row>
    <row r="1126" ht="15.75" customHeight="1">
      <c r="A1126" s="214" t="s">
        <v>1721</v>
      </c>
      <c r="B1126" s="216">
        <v>4699.0</v>
      </c>
      <c r="C1126" s="216">
        <v>625.0</v>
      </c>
      <c r="D1126" s="217">
        <v>18.0</v>
      </c>
      <c r="E1126" s="219" t="s">
        <v>242</v>
      </c>
      <c r="F1126" s="219" t="s">
        <v>317</v>
      </c>
      <c r="G1126" s="214" t="s">
        <v>406</v>
      </c>
      <c r="H1126" s="221">
        <v>45304.0</v>
      </c>
      <c r="I1126" s="219" t="s">
        <v>1722</v>
      </c>
      <c r="J1126" s="219" t="s">
        <v>117</v>
      </c>
      <c r="K1126" s="219" t="s">
        <v>423</v>
      </c>
      <c r="L1126" s="214" t="s">
        <v>477</v>
      </c>
      <c r="M1126" s="222">
        <v>2024.0</v>
      </c>
      <c r="N1126" s="214" t="s">
        <v>497</v>
      </c>
      <c r="O1126" s="223">
        <v>1.0</v>
      </c>
      <c r="P1126" s="224">
        <f t="shared" si="1"/>
        <v>0.1330070228</v>
      </c>
      <c r="Q1126" s="214" t="str">
        <f t="shared" si="2"/>
        <v>Medium</v>
      </c>
    </row>
    <row r="1127" ht="15.75" customHeight="1">
      <c r="A1127" s="214" t="s">
        <v>1723</v>
      </c>
      <c r="B1127" s="216">
        <v>5557.0</v>
      </c>
      <c r="C1127" s="216">
        <v>2114.0</v>
      </c>
      <c r="D1127" s="217">
        <v>17.0</v>
      </c>
      <c r="E1127" s="219" t="s">
        <v>157</v>
      </c>
      <c r="F1127" s="219" t="s">
        <v>360</v>
      </c>
      <c r="G1127" s="214" t="s">
        <v>406</v>
      </c>
      <c r="H1127" s="221">
        <v>44344.0</v>
      </c>
      <c r="I1127" s="219" t="s">
        <v>1724</v>
      </c>
      <c r="J1127" s="219" t="s">
        <v>313</v>
      </c>
      <c r="K1127" s="219" t="s">
        <v>526</v>
      </c>
      <c r="L1127" s="214" t="s">
        <v>443</v>
      </c>
      <c r="M1127" s="222">
        <v>2021.0</v>
      </c>
      <c r="N1127" s="214" t="s">
        <v>411</v>
      </c>
      <c r="O1127" s="223">
        <v>2.0</v>
      </c>
      <c r="P1127" s="224">
        <f t="shared" si="1"/>
        <v>0.3804210905</v>
      </c>
      <c r="Q1127" s="214" t="str">
        <f t="shared" si="2"/>
        <v>High</v>
      </c>
    </row>
    <row r="1128" ht="15.75" customHeight="1">
      <c r="A1128" s="214" t="s">
        <v>1725</v>
      </c>
      <c r="B1128" s="216">
        <v>3436.0</v>
      </c>
      <c r="C1128" s="216">
        <v>933.0</v>
      </c>
      <c r="D1128" s="217">
        <v>3.0</v>
      </c>
      <c r="E1128" s="219" t="s">
        <v>157</v>
      </c>
      <c r="F1128" s="219" t="s">
        <v>355</v>
      </c>
      <c r="G1128" s="214" t="s">
        <v>350</v>
      </c>
      <c r="H1128" s="221">
        <v>44360.0</v>
      </c>
      <c r="I1128" s="219" t="s">
        <v>1726</v>
      </c>
      <c r="J1128" s="219" t="s">
        <v>241</v>
      </c>
      <c r="K1128" s="219" t="s">
        <v>493</v>
      </c>
      <c r="L1128" s="214" t="s">
        <v>444</v>
      </c>
      <c r="M1128" s="222">
        <v>2021.0</v>
      </c>
      <c r="N1128" s="214" t="s">
        <v>396</v>
      </c>
      <c r="O1128" s="223">
        <v>2.0</v>
      </c>
      <c r="P1128" s="224">
        <f t="shared" si="1"/>
        <v>0.2715366705</v>
      </c>
      <c r="Q1128" s="214" t="str">
        <f t="shared" si="2"/>
        <v>Medium</v>
      </c>
    </row>
    <row r="1129" ht="15.75" customHeight="1">
      <c r="A1129" s="214" t="s">
        <v>1727</v>
      </c>
      <c r="B1129" s="216">
        <v>9840.0</v>
      </c>
      <c r="C1129" s="216">
        <v>3870.0</v>
      </c>
      <c r="D1129" s="217">
        <v>11.0</v>
      </c>
      <c r="E1129" s="219" t="s">
        <v>157</v>
      </c>
      <c r="F1129" s="219" t="s">
        <v>354</v>
      </c>
      <c r="G1129" s="214" t="s">
        <v>351</v>
      </c>
      <c r="H1129" s="221">
        <v>45041.0</v>
      </c>
      <c r="I1129" s="219" t="s">
        <v>1728</v>
      </c>
      <c r="J1129" s="219" t="s">
        <v>241</v>
      </c>
      <c r="K1129" s="219" t="s">
        <v>504</v>
      </c>
      <c r="L1129" s="214" t="s">
        <v>468</v>
      </c>
      <c r="M1129" s="222">
        <v>2023.0</v>
      </c>
      <c r="N1129" s="214" t="s">
        <v>542</v>
      </c>
      <c r="O1129" s="223">
        <v>2.0</v>
      </c>
      <c r="P1129" s="224">
        <f t="shared" si="1"/>
        <v>0.3932926829</v>
      </c>
      <c r="Q1129" s="214" t="str">
        <f t="shared" si="2"/>
        <v>High</v>
      </c>
    </row>
    <row r="1130" ht="15.75" customHeight="1">
      <c r="A1130" s="214" t="s">
        <v>1729</v>
      </c>
      <c r="B1130" s="216">
        <v>7620.0</v>
      </c>
      <c r="C1130" s="216">
        <v>125.0</v>
      </c>
      <c r="D1130" s="217">
        <v>4.0</v>
      </c>
      <c r="E1130" s="219" t="s">
        <v>242</v>
      </c>
      <c r="F1130" s="219" t="s">
        <v>357</v>
      </c>
      <c r="G1130" s="214" t="s">
        <v>406</v>
      </c>
      <c r="H1130" s="221">
        <v>44382.0</v>
      </c>
      <c r="I1130" s="219" t="s">
        <v>1730</v>
      </c>
      <c r="J1130" s="219" t="s">
        <v>117</v>
      </c>
      <c r="K1130" s="219" t="s">
        <v>508</v>
      </c>
      <c r="L1130" s="214" t="s">
        <v>403</v>
      </c>
      <c r="M1130" s="222">
        <v>2021.0</v>
      </c>
      <c r="N1130" s="214" t="s">
        <v>404</v>
      </c>
      <c r="O1130" s="223">
        <v>3.0</v>
      </c>
      <c r="P1130" s="224">
        <f t="shared" si="1"/>
        <v>0.01640419948</v>
      </c>
      <c r="Q1130" s="214" t="str">
        <f t="shared" si="2"/>
        <v>High</v>
      </c>
    </row>
    <row r="1131" ht="15.75" customHeight="1">
      <c r="A1131" s="214" t="s">
        <v>1729</v>
      </c>
      <c r="B1131" s="216">
        <v>7620.0</v>
      </c>
      <c r="C1131" s="216">
        <v>125.0</v>
      </c>
      <c r="D1131" s="217">
        <v>4.0</v>
      </c>
      <c r="E1131" s="219" t="s">
        <v>242</v>
      </c>
      <c r="F1131" s="219" t="s">
        <v>357</v>
      </c>
      <c r="G1131" s="214" t="s">
        <v>406</v>
      </c>
      <c r="H1131" s="221">
        <v>45577.0</v>
      </c>
      <c r="I1131" s="219" t="s">
        <v>1731</v>
      </c>
      <c r="J1131" s="219" t="s">
        <v>117</v>
      </c>
      <c r="K1131" s="219" t="s">
        <v>508</v>
      </c>
      <c r="L1131" s="214" t="s">
        <v>485</v>
      </c>
      <c r="M1131" s="222">
        <v>2024.0</v>
      </c>
      <c r="N1131" s="214" t="s">
        <v>414</v>
      </c>
      <c r="O1131" s="223">
        <v>4.0</v>
      </c>
      <c r="P1131" s="224">
        <f t="shared" si="1"/>
        <v>0.01640419948</v>
      </c>
      <c r="Q1131" s="214" t="str">
        <f t="shared" si="2"/>
        <v>High</v>
      </c>
    </row>
    <row r="1132" ht="15.75" customHeight="1">
      <c r="A1132" s="214" t="s">
        <v>1732</v>
      </c>
      <c r="B1132" s="216">
        <v>4314.0</v>
      </c>
      <c r="C1132" s="216">
        <v>1591.0</v>
      </c>
      <c r="D1132" s="217">
        <v>5.0</v>
      </c>
      <c r="E1132" s="219" t="s">
        <v>216</v>
      </c>
      <c r="F1132" s="219" t="s">
        <v>344</v>
      </c>
      <c r="G1132" s="214" t="s">
        <v>351</v>
      </c>
      <c r="H1132" s="221">
        <v>44473.0</v>
      </c>
      <c r="I1132" s="219" t="s">
        <v>1733</v>
      </c>
      <c r="J1132" s="219" t="s">
        <v>223</v>
      </c>
      <c r="K1132" s="219" t="s">
        <v>402</v>
      </c>
      <c r="L1132" s="214" t="s">
        <v>413</v>
      </c>
      <c r="M1132" s="222">
        <v>2021.0</v>
      </c>
      <c r="N1132" s="214" t="s">
        <v>414</v>
      </c>
      <c r="O1132" s="223">
        <v>4.0</v>
      </c>
      <c r="P1132" s="224">
        <f t="shared" si="1"/>
        <v>0.3687992582</v>
      </c>
      <c r="Q1132" s="214" t="str">
        <f t="shared" si="2"/>
        <v>Medium</v>
      </c>
    </row>
    <row r="1133" ht="15.75" customHeight="1">
      <c r="A1133" s="214" t="s">
        <v>1734</v>
      </c>
      <c r="B1133" s="216">
        <v>8851.0</v>
      </c>
      <c r="C1133" s="216">
        <v>999.0</v>
      </c>
      <c r="D1133" s="217">
        <v>12.0</v>
      </c>
      <c r="E1133" s="219" t="s">
        <v>157</v>
      </c>
      <c r="F1133" s="219" t="s">
        <v>360</v>
      </c>
      <c r="G1133" s="214" t="s">
        <v>392</v>
      </c>
      <c r="H1133" s="221">
        <v>45329.0</v>
      </c>
      <c r="I1133" s="219" t="s">
        <v>1735</v>
      </c>
      <c r="J1133" s="219" t="s">
        <v>313</v>
      </c>
      <c r="K1133" s="219" t="s">
        <v>518</v>
      </c>
      <c r="L1133" s="214" t="s">
        <v>478</v>
      </c>
      <c r="M1133" s="222">
        <v>2024.0</v>
      </c>
      <c r="N1133" s="214" t="s">
        <v>494</v>
      </c>
      <c r="O1133" s="223">
        <v>1.0</v>
      </c>
      <c r="P1133" s="224">
        <f t="shared" si="1"/>
        <v>0.1128686024</v>
      </c>
      <c r="Q1133" s="214" t="str">
        <f t="shared" si="2"/>
        <v>High</v>
      </c>
    </row>
    <row r="1134" ht="15.75" customHeight="1">
      <c r="A1134" s="214" t="s">
        <v>1736</v>
      </c>
      <c r="B1134" s="216">
        <v>544.0</v>
      </c>
      <c r="C1134" s="216">
        <v>272.0</v>
      </c>
      <c r="D1134" s="217">
        <v>2.0</v>
      </c>
      <c r="E1134" s="219" t="s">
        <v>157</v>
      </c>
      <c r="F1134" s="219" t="s">
        <v>360</v>
      </c>
      <c r="G1134" s="214" t="s">
        <v>351</v>
      </c>
      <c r="H1134" s="221">
        <v>44260.0</v>
      </c>
      <c r="I1134" s="219" t="s">
        <v>1737</v>
      </c>
      <c r="J1134" s="219" t="s">
        <v>241</v>
      </c>
      <c r="K1134" s="219" t="s">
        <v>541</v>
      </c>
      <c r="L1134" s="214" t="s">
        <v>440</v>
      </c>
      <c r="M1134" s="222">
        <v>2021.0</v>
      </c>
      <c r="N1134" s="214" t="s">
        <v>433</v>
      </c>
      <c r="O1134" s="223">
        <v>1.0</v>
      </c>
      <c r="P1134" s="224">
        <f t="shared" si="1"/>
        <v>0.5</v>
      </c>
      <c r="Q1134" s="214" t="str">
        <f t="shared" si="2"/>
        <v>Medium</v>
      </c>
    </row>
    <row r="1135" ht="15.75" customHeight="1">
      <c r="A1135" s="214" t="s">
        <v>1736</v>
      </c>
      <c r="B1135" s="216">
        <v>544.0</v>
      </c>
      <c r="C1135" s="216">
        <v>272.0</v>
      </c>
      <c r="D1135" s="217">
        <v>2.0</v>
      </c>
      <c r="E1135" s="219" t="s">
        <v>157</v>
      </c>
      <c r="F1135" s="219" t="s">
        <v>360</v>
      </c>
      <c r="G1135" s="214" t="s">
        <v>351</v>
      </c>
      <c r="H1135" s="221">
        <v>45102.0</v>
      </c>
      <c r="I1135" s="219" t="s">
        <v>1738</v>
      </c>
      <c r="J1135" s="219" t="s">
        <v>223</v>
      </c>
      <c r="K1135" s="219" t="s">
        <v>402</v>
      </c>
      <c r="L1135" s="214" t="s">
        <v>395</v>
      </c>
      <c r="M1135" s="222">
        <v>2023.0</v>
      </c>
      <c r="N1135" s="214" t="s">
        <v>396</v>
      </c>
      <c r="O1135" s="223">
        <v>2.0</v>
      </c>
      <c r="P1135" s="224">
        <f t="shared" si="1"/>
        <v>0.5</v>
      </c>
      <c r="Q1135" s="214" t="str">
        <f t="shared" si="2"/>
        <v>Medium</v>
      </c>
    </row>
    <row r="1136" ht="15.75" customHeight="1">
      <c r="A1136" s="214" t="s">
        <v>1739</v>
      </c>
      <c r="B1136" s="216">
        <v>537.0</v>
      </c>
      <c r="C1136" s="216">
        <v>142.0</v>
      </c>
      <c r="D1136" s="217">
        <v>20.0</v>
      </c>
      <c r="E1136" s="219" t="s">
        <v>242</v>
      </c>
      <c r="F1136" s="219" t="s">
        <v>317</v>
      </c>
      <c r="G1136" s="214" t="s">
        <v>406</v>
      </c>
      <c r="H1136" s="221">
        <v>44410.0</v>
      </c>
      <c r="I1136" s="219" t="s">
        <v>1740</v>
      </c>
      <c r="J1136" s="219" t="s">
        <v>271</v>
      </c>
      <c r="K1136" s="219" t="s">
        <v>568</v>
      </c>
      <c r="L1136" s="214" t="s">
        <v>445</v>
      </c>
      <c r="M1136" s="222">
        <v>2021.0</v>
      </c>
      <c r="N1136" s="214" t="s">
        <v>523</v>
      </c>
      <c r="O1136" s="223">
        <v>3.0</v>
      </c>
      <c r="P1136" s="224">
        <f t="shared" si="1"/>
        <v>0.2644320298</v>
      </c>
      <c r="Q1136" s="214" t="str">
        <f t="shared" si="2"/>
        <v>Medium</v>
      </c>
    </row>
    <row r="1137" ht="15.75" customHeight="1">
      <c r="A1137" s="214" t="s">
        <v>1741</v>
      </c>
      <c r="B1137" s="216">
        <v>5944.0</v>
      </c>
      <c r="C1137" s="216">
        <v>2661.0</v>
      </c>
      <c r="D1137" s="217">
        <v>7.0</v>
      </c>
      <c r="E1137" s="219" t="s">
        <v>157</v>
      </c>
      <c r="F1137" s="219" t="s">
        <v>360</v>
      </c>
      <c r="G1137" s="214" t="s">
        <v>406</v>
      </c>
      <c r="H1137" s="221">
        <v>44637.0</v>
      </c>
      <c r="I1137" s="219" t="s">
        <v>1742</v>
      </c>
      <c r="J1137" s="219" t="s">
        <v>241</v>
      </c>
      <c r="K1137" s="219" t="s">
        <v>504</v>
      </c>
      <c r="L1137" s="214" t="s">
        <v>455</v>
      </c>
      <c r="M1137" s="222">
        <v>2022.0</v>
      </c>
      <c r="N1137" s="214" t="s">
        <v>433</v>
      </c>
      <c r="O1137" s="223">
        <v>1.0</v>
      </c>
      <c r="P1137" s="224">
        <f t="shared" si="1"/>
        <v>0.4476783311</v>
      </c>
      <c r="Q1137" s="214" t="str">
        <f t="shared" si="2"/>
        <v>High</v>
      </c>
    </row>
    <row r="1138" ht="15.75" customHeight="1">
      <c r="A1138" s="214" t="s">
        <v>1743</v>
      </c>
      <c r="B1138" s="216">
        <v>2258.0</v>
      </c>
      <c r="C1138" s="216">
        <v>135.0</v>
      </c>
      <c r="D1138" s="217">
        <v>18.0</v>
      </c>
      <c r="E1138" s="219" t="s">
        <v>157</v>
      </c>
      <c r="F1138" s="219" t="s">
        <v>354</v>
      </c>
      <c r="G1138" s="214" t="s">
        <v>350</v>
      </c>
      <c r="H1138" s="221">
        <v>45329.0</v>
      </c>
      <c r="I1138" s="219" t="s">
        <v>1744</v>
      </c>
      <c r="J1138" s="219" t="s">
        <v>159</v>
      </c>
      <c r="K1138" s="219" t="s">
        <v>394</v>
      </c>
      <c r="L1138" s="214" t="s">
        <v>478</v>
      </c>
      <c r="M1138" s="222">
        <v>2024.0</v>
      </c>
      <c r="N1138" s="214" t="s">
        <v>494</v>
      </c>
      <c r="O1138" s="223">
        <v>1.0</v>
      </c>
      <c r="P1138" s="224">
        <f t="shared" si="1"/>
        <v>0.0597874225</v>
      </c>
      <c r="Q1138" s="214" t="str">
        <f t="shared" si="2"/>
        <v>Medium</v>
      </c>
    </row>
    <row r="1139" ht="15.75" customHeight="1">
      <c r="A1139" s="214" t="s">
        <v>1743</v>
      </c>
      <c r="B1139" s="216">
        <v>2258.0</v>
      </c>
      <c r="C1139" s="216">
        <v>135.0</v>
      </c>
      <c r="D1139" s="217">
        <v>18.0</v>
      </c>
      <c r="E1139" s="219" t="s">
        <v>157</v>
      </c>
      <c r="F1139" s="219" t="s">
        <v>354</v>
      </c>
      <c r="G1139" s="214" t="s">
        <v>350</v>
      </c>
      <c r="H1139" s="221">
        <v>44792.0</v>
      </c>
      <c r="I1139" s="219" t="s">
        <v>1745</v>
      </c>
      <c r="J1139" s="219" t="s">
        <v>117</v>
      </c>
      <c r="K1139" s="219" t="s">
        <v>496</v>
      </c>
      <c r="L1139" s="214" t="s">
        <v>461</v>
      </c>
      <c r="M1139" s="222">
        <v>2022.0</v>
      </c>
      <c r="N1139" s="214" t="s">
        <v>523</v>
      </c>
      <c r="O1139" s="223">
        <v>3.0</v>
      </c>
      <c r="P1139" s="224">
        <f t="shared" si="1"/>
        <v>0.0597874225</v>
      </c>
      <c r="Q1139" s="214" t="str">
        <f t="shared" si="2"/>
        <v>Medium</v>
      </c>
    </row>
    <row r="1140" ht="15.75" customHeight="1">
      <c r="A1140" s="214" t="s">
        <v>1746</v>
      </c>
      <c r="B1140" s="216">
        <v>9609.0</v>
      </c>
      <c r="C1140" s="216">
        <v>4339.0</v>
      </c>
      <c r="D1140" s="217">
        <v>3.0</v>
      </c>
      <c r="E1140" s="219" t="s">
        <v>216</v>
      </c>
      <c r="F1140" s="219" t="s">
        <v>347</v>
      </c>
      <c r="G1140" s="214" t="s">
        <v>351</v>
      </c>
      <c r="H1140" s="221">
        <v>45554.0</v>
      </c>
      <c r="I1140" s="219" t="s">
        <v>1747</v>
      </c>
      <c r="J1140" s="219" t="s">
        <v>241</v>
      </c>
      <c r="K1140" s="219" t="s">
        <v>541</v>
      </c>
      <c r="L1140" s="214" t="s">
        <v>484</v>
      </c>
      <c r="M1140" s="222">
        <v>2024.0</v>
      </c>
      <c r="N1140" s="214" t="s">
        <v>536</v>
      </c>
      <c r="O1140" s="223">
        <v>3.0</v>
      </c>
      <c r="P1140" s="224">
        <f t="shared" si="1"/>
        <v>0.4515558331</v>
      </c>
      <c r="Q1140" s="214" t="str">
        <f t="shared" si="2"/>
        <v>High</v>
      </c>
    </row>
    <row r="1141" ht="15.75" customHeight="1">
      <c r="A1141" s="214" t="s">
        <v>1746</v>
      </c>
      <c r="B1141" s="216">
        <v>9609.0</v>
      </c>
      <c r="C1141" s="216">
        <v>4339.0</v>
      </c>
      <c r="D1141" s="217">
        <v>3.0</v>
      </c>
      <c r="E1141" s="219" t="s">
        <v>216</v>
      </c>
      <c r="F1141" s="219" t="s">
        <v>347</v>
      </c>
      <c r="G1141" s="214" t="s">
        <v>351</v>
      </c>
      <c r="H1141" s="221">
        <v>43926.0</v>
      </c>
      <c r="I1141" s="219" t="s">
        <v>1748</v>
      </c>
      <c r="J1141" s="219" t="s">
        <v>313</v>
      </c>
      <c r="K1141" s="219" t="s">
        <v>518</v>
      </c>
      <c r="L1141" s="214" t="s">
        <v>418</v>
      </c>
      <c r="M1141" s="222">
        <v>2020.0</v>
      </c>
      <c r="N1141" s="214" t="s">
        <v>542</v>
      </c>
      <c r="O1141" s="223">
        <v>2.0</v>
      </c>
      <c r="P1141" s="224">
        <f t="shared" si="1"/>
        <v>0.4515558331</v>
      </c>
      <c r="Q1141" s="214" t="str">
        <f t="shared" si="2"/>
        <v>High</v>
      </c>
    </row>
    <row r="1142" ht="15.75" customHeight="1">
      <c r="A1142" s="214" t="s">
        <v>1749</v>
      </c>
      <c r="B1142" s="216">
        <v>9952.0</v>
      </c>
      <c r="C1142" s="216">
        <v>3301.0</v>
      </c>
      <c r="D1142" s="217">
        <v>15.0</v>
      </c>
      <c r="E1142" s="219" t="s">
        <v>157</v>
      </c>
      <c r="F1142" s="219" t="s">
        <v>355</v>
      </c>
      <c r="G1142" s="214" t="s">
        <v>351</v>
      </c>
      <c r="H1142" s="221">
        <v>44995.0</v>
      </c>
      <c r="I1142" s="219" t="s">
        <v>1750</v>
      </c>
      <c r="J1142" s="219" t="s">
        <v>241</v>
      </c>
      <c r="K1142" s="219" t="s">
        <v>493</v>
      </c>
      <c r="L1142" s="214" t="s">
        <v>467</v>
      </c>
      <c r="M1142" s="222">
        <v>2023.0</v>
      </c>
      <c r="N1142" s="214" t="s">
        <v>433</v>
      </c>
      <c r="O1142" s="223">
        <v>1.0</v>
      </c>
      <c r="P1142" s="224">
        <f t="shared" si="1"/>
        <v>0.3316921222</v>
      </c>
      <c r="Q1142" s="214" t="str">
        <f t="shared" si="2"/>
        <v>High</v>
      </c>
    </row>
    <row r="1143" ht="15.75" customHeight="1">
      <c r="A1143" s="214" t="s">
        <v>1751</v>
      </c>
      <c r="B1143" s="216">
        <v>9873.0</v>
      </c>
      <c r="C1143" s="216">
        <v>4585.0</v>
      </c>
      <c r="D1143" s="217">
        <v>7.0</v>
      </c>
      <c r="E1143" s="219" t="s">
        <v>242</v>
      </c>
      <c r="F1143" s="219" t="s">
        <v>357</v>
      </c>
      <c r="G1143" s="214" t="s">
        <v>350</v>
      </c>
      <c r="H1143" s="221">
        <v>44053.0</v>
      </c>
      <c r="I1143" s="219" t="s">
        <v>1752</v>
      </c>
      <c r="J1143" s="219" t="s">
        <v>313</v>
      </c>
      <c r="K1143" s="219" t="s">
        <v>512</v>
      </c>
      <c r="L1143" s="214" t="s">
        <v>431</v>
      </c>
      <c r="M1143" s="222">
        <v>2020.0</v>
      </c>
      <c r="N1143" s="214" t="s">
        <v>523</v>
      </c>
      <c r="O1143" s="223">
        <v>3.0</v>
      </c>
      <c r="P1143" s="224">
        <f t="shared" si="1"/>
        <v>0.4643978527</v>
      </c>
      <c r="Q1143" s="214" t="str">
        <f t="shared" si="2"/>
        <v>High</v>
      </c>
    </row>
    <row r="1144" ht="15.75" customHeight="1">
      <c r="A1144" s="214" t="s">
        <v>1753</v>
      </c>
      <c r="B1144" s="216">
        <v>3560.0</v>
      </c>
      <c r="C1144" s="216">
        <v>1335.0</v>
      </c>
      <c r="D1144" s="217">
        <v>15.0</v>
      </c>
      <c r="E1144" s="219" t="s">
        <v>157</v>
      </c>
      <c r="F1144" s="219" t="s">
        <v>355</v>
      </c>
      <c r="G1144" s="214" t="s">
        <v>405</v>
      </c>
      <c r="H1144" s="221">
        <v>43950.0</v>
      </c>
      <c r="I1144" s="219" t="s">
        <v>1754</v>
      </c>
      <c r="J1144" s="219" t="s">
        <v>223</v>
      </c>
      <c r="K1144" s="219" t="s">
        <v>428</v>
      </c>
      <c r="L1144" s="214" t="s">
        <v>418</v>
      </c>
      <c r="M1144" s="222">
        <v>2020.0</v>
      </c>
      <c r="N1144" s="214" t="s">
        <v>542</v>
      </c>
      <c r="O1144" s="223">
        <v>2.0</v>
      </c>
      <c r="P1144" s="224">
        <f t="shared" si="1"/>
        <v>0.375</v>
      </c>
      <c r="Q1144" s="214" t="str">
        <f t="shared" si="2"/>
        <v>Medium</v>
      </c>
    </row>
    <row r="1145" ht="15.75" customHeight="1">
      <c r="A1145" s="214" t="s">
        <v>1753</v>
      </c>
      <c r="B1145" s="216">
        <v>3560.0</v>
      </c>
      <c r="C1145" s="216">
        <v>1335.0</v>
      </c>
      <c r="D1145" s="217">
        <v>15.0</v>
      </c>
      <c r="E1145" s="219" t="s">
        <v>157</v>
      </c>
      <c r="F1145" s="219" t="s">
        <v>355</v>
      </c>
      <c r="G1145" s="214" t="s">
        <v>405</v>
      </c>
      <c r="H1145" s="221">
        <v>45001.0</v>
      </c>
      <c r="I1145" s="219" t="s">
        <v>1755</v>
      </c>
      <c r="J1145" s="219" t="s">
        <v>271</v>
      </c>
      <c r="K1145" s="219" t="s">
        <v>449</v>
      </c>
      <c r="L1145" s="214" t="s">
        <v>467</v>
      </c>
      <c r="M1145" s="222">
        <v>2023.0</v>
      </c>
      <c r="N1145" s="214" t="s">
        <v>433</v>
      </c>
      <c r="O1145" s="223">
        <v>1.0</v>
      </c>
      <c r="P1145" s="224">
        <f t="shared" si="1"/>
        <v>0.375</v>
      </c>
      <c r="Q1145" s="214" t="str">
        <f t="shared" si="2"/>
        <v>Medium</v>
      </c>
    </row>
    <row r="1146" ht="15.75" customHeight="1">
      <c r="A1146" s="214" t="s">
        <v>1756</v>
      </c>
      <c r="B1146" s="216">
        <v>6528.0</v>
      </c>
      <c r="C1146" s="216">
        <v>76.0</v>
      </c>
      <c r="D1146" s="217">
        <v>9.0</v>
      </c>
      <c r="E1146" s="219" t="s">
        <v>157</v>
      </c>
      <c r="F1146" s="219" t="s">
        <v>358</v>
      </c>
      <c r="G1146" s="214" t="s">
        <v>351</v>
      </c>
      <c r="H1146" s="221">
        <v>43955.0</v>
      </c>
      <c r="I1146" s="219" t="s">
        <v>1757</v>
      </c>
      <c r="J1146" s="219" t="s">
        <v>223</v>
      </c>
      <c r="K1146" s="219" t="s">
        <v>402</v>
      </c>
      <c r="L1146" s="214" t="s">
        <v>419</v>
      </c>
      <c r="M1146" s="222">
        <v>2020.0</v>
      </c>
      <c r="N1146" s="214" t="s">
        <v>411</v>
      </c>
      <c r="O1146" s="223">
        <v>2.0</v>
      </c>
      <c r="P1146" s="224">
        <f t="shared" si="1"/>
        <v>0.01164215686</v>
      </c>
      <c r="Q1146" s="214" t="str">
        <f t="shared" si="2"/>
        <v>High</v>
      </c>
    </row>
    <row r="1147" ht="15.75" customHeight="1">
      <c r="A1147" s="214" t="s">
        <v>1756</v>
      </c>
      <c r="B1147" s="216">
        <v>8930.0</v>
      </c>
      <c r="C1147" s="216">
        <v>3374.0</v>
      </c>
      <c r="D1147" s="217">
        <v>12.0</v>
      </c>
      <c r="E1147" s="219" t="s">
        <v>216</v>
      </c>
      <c r="F1147" s="219" t="s">
        <v>347</v>
      </c>
      <c r="G1147" s="214" t="s">
        <v>351</v>
      </c>
      <c r="H1147" s="221">
        <v>43955.0</v>
      </c>
      <c r="I1147" s="219" t="s">
        <v>1757</v>
      </c>
      <c r="J1147" s="219" t="s">
        <v>223</v>
      </c>
      <c r="K1147" s="219" t="s">
        <v>402</v>
      </c>
      <c r="L1147" s="214" t="s">
        <v>419</v>
      </c>
      <c r="M1147" s="222">
        <v>2020.0</v>
      </c>
      <c r="N1147" s="214" t="s">
        <v>411</v>
      </c>
      <c r="O1147" s="223">
        <v>2.0</v>
      </c>
      <c r="P1147" s="224">
        <f t="shared" si="1"/>
        <v>0.3778275476</v>
      </c>
      <c r="Q1147" s="214" t="str">
        <f t="shared" si="2"/>
        <v>High</v>
      </c>
    </row>
    <row r="1148" ht="15.75" customHeight="1">
      <c r="A1148" s="214" t="s">
        <v>1758</v>
      </c>
      <c r="B1148" s="216">
        <v>4521.0</v>
      </c>
      <c r="C1148" s="216">
        <v>1778.0</v>
      </c>
      <c r="D1148" s="217">
        <v>9.0</v>
      </c>
      <c r="E1148" s="219" t="s">
        <v>242</v>
      </c>
      <c r="F1148" s="219" t="s">
        <v>357</v>
      </c>
      <c r="G1148" s="214" t="s">
        <v>351</v>
      </c>
      <c r="H1148" s="221">
        <v>45580.0</v>
      </c>
      <c r="I1148" s="219" t="s">
        <v>1759</v>
      </c>
      <c r="J1148" s="219" t="s">
        <v>159</v>
      </c>
      <c r="K1148" s="219" t="s">
        <v>552</v>
      </c>
      <c r="L1148" s="214" t="s">
        <v>485</v>
      </c>
      <c r="M1148" s="222">
        <v>2024.0</v>
      </c>
      <c r="N1148" s="214" t="s">
        <v>414</v>
      </c>
      <c r="O1148" s="223">
        <v>4.0</v>
      </c>
      <c r="P1148" s="224">
        <f t="shared" si="1"/>
        <v>0.3932758239</v>
      </c>
      <c r="Q1148" s="214" t="str">
        <f t="shared" si="2"/>
        <v>Medium</v>
      </c>
    </row>
    <row r="1149" ht="15.75" customHeight="1">
      <c r="A1149" s="214" t="s">
        <v>1760</v>
      </c>
      <c r="B1149" s="216">
        <v>7091.0</v>
      </c>
      <c r="C1149" s="216">
        <v>2317.0</v>
      </c>
      <c r="D1149" s="217">
        <v>10.0</v>
      </c>
      <c r="E1149" s="219" t="s">
        <v>216</v>
      </c>
      <c r="F1149" s="219" t="s">
        <v>347</v>
      </c>
      <c r="G1149" s="214" t="s">
        <v>350</v>
      </c>
      <c r="H1149" s="221">
        <v>44721.0</v>
      </c>
      <c r="I1149" s="219" t="s">
        <v>1761</v>
      </c>
      <c r="J1149" s="219" t="s">
        <v>117</v>
      </c>
      <c r="K1149" s="219" t="s">
        <v>496</v>
      </c>
      <c r="L1149" s="214" t="s">
        <v>458</v>
      </c>
      <c r="M1149" s="222">
        <v>2022.0</v>
      </c>
      <c r="N1149" s="214" t="s">
        <v>396</v>
      </c>
      <c r="O1149" s="223">
        <v>2.0</v>
      </c>
      <c r="P1149" s="224">
        <f t="shared" si="1"/>
        <v>0.3267522211</v>
      </c>
      <c r="Q1149" s="214" t="str">
        <f t="shared" si="2"/>
        <v>High</v>
      </c>
    </row>
    <row r="1150" ht="15.75" customHeight="1">
      <c r="A1150" s="214" t="s">
        <v>1762</v>
      </c>
      <c r="B1150" s="216">
        <v>2101.0</v>
      </c>
      <c r="C1150" s="216">
        <v>287.0</v>
      </c>
      <c r="D1150" s="217">
        <v>8.0</v>
      </c>
      <c r="E1150" s="219" t="s">
        <v>242</v>
      </c>
      <c r="F1150" s="219" t="s">
        <v>356</v>
      </c>
      <c r="G1150" s="214" t="s">
        <v>405</v>
      </c>
      <c r="H1150" s="221">
        <v>44016.0</v>
      </c>
      <c r="I1150" s="219" t="s">
        <v>1073</v>
      </c>
      <c r="J1150" s="219" t="s">
        <v>313</v>
      </c>
      <c r="K1150" s="219" t="s">
        <v>526</v>
      </c>
      <c r="L1150" s="214" t="s">
        <v>422</v>
      </c>
      <c r="M1150" s="222">
        <v>2020.0</v>
      </c>
      <c r="N1150" s="214" t="s">
        <v>404</v>
      </c>
      <c r="O1150" s="223">
        <v>3.0</v>
      </c>
      <c r="P1150" s="224">
        <f t="shared" si="1"/>
        <v>0.1366016183</v>
      </c>
      <c r="Q1150" s="214" t="str">
        <f t="shared" si="2"/>
        <v>Medium</v>
      </c>
    </row>
    <row r="1151" ht="15.75" customHeight="1">
      <c r="A1151" s="214" t="s">
        <v>1762</v>
      </c>
      <c r="B1151" s="216">
        <v>2101.0</v>
      </c>
      <c r="C1151" s="216">
        <v>287.0</v>
      </c>
      <c r="D1151" s="217">
        <v>8.0</v>
      </c>
      <c r="E1151" s="219" t="s">
        <v>242</v>
      </c>
      <c r="F1151" s="219" t="s">
        <v>356</v>
      </c>
      <c r="G1151" s="214" t="s">
        <v>405</v>
      </c>
      <c r="H1151" s="221">
        <v>45025.0</v>
      </c>
      <c r="I1151" s="219" t="s">
        <v>1763</v>
      </c>
      <c r="J1151" s="219" t="s">
        <v>271</v>
      </c>
      <c r="K1151" s="219" t="s">
        <v>398</v>
      </c>
      <c r="L1151" s="214" t="s">
        <v>468</v>
      </c>
      <c r="M1151" s="222">
        <v>2023.0</v>
      </c>
      <c r="N1151" s="214" t="s">
        <v>542</v>
      </c>
      <c r="O1151" s="223">
        <v>2.0</v>
      </c>
      <c r="P1151" s="224">
        <f t="shared" si="1"/>
        <v>0.1366016183</v>
      </c>
      <c r="Q1151" s="214" t="str">
        <f t="shared" si="2"/>
        <v>Medium</v>
      </c>
    </row>
    <row r="1152" ht="15.75" customHeight="1">
      <c r="A1152" s="214" t="s">
        <v>1764</v>
      </c>
      <c r="B1152" s="216">
        <v>8644.0</v>
      </c>
      <c r="C1152" s="216">
        <v>1968.0</v>
      </c>
      <c r="D1152" s="217">
        <v>9.0</v>
      </c>
      <c r="E1152" s="219" t="s">
        <v>242</v>
      </c>
      <c r="F1152" s="219" t="s">
        <v>357</v>
      </c>
      <c r="G1152" s="214" t="s">
        <v>351</v>
      </c>
      <c r="H1152" s="221">
        <v>45254.0</v>
      </c>
      <c r="I1152" s="219" t="s">
        <v>1765</v>
      </c>
      <c r="J1152" s="219" t="s">
        <v>271</v>
      </c>
      <c r="K1152" s="219" t="s">
        <v>398</v>
      </c>
      <c r="L1152" s="214" t="s">
        <v>429</v>
      </c>
      <c r="M1152" s="222">
        <v>2023.0</v>
      </c>
      <c r="N1152" s="214" t="s">
        <v>425</v>
      </c>
      <c r="O1152" s="223">
        <v>4.0</v>
      </c>
      <c r="P1152" s="224">
        <f t="shared" si="1"/>
        <v>0.2276723739</v>
      </c>
      <c r="Q1152" s="214" t="str">
        <f t="shared" si="2"/>
        <v>High</v>
      </c>
    </row>
    <row r="1153" ht="15.75" customHeight="1">
      <c r="A1153" s="214" t="s">
        <v>1766</v>
      </c>
      <c r="B1153" s="216">
        <v>6672.0</v>
      </c>
      <c r="C1153" s="216">
        <v>3319.0</v>
      </c>
      <c r="D1153" s="217">
        <v>4.0</v>
      </c>
      <c r="E1153" s="219" t="s">
        <v>216</v>
      </c>
      <c r="F1153" s="219" t="s">
        <v>344</v>
      </c>
      <c r="G1153" s="214" t="s">
        <v>392</v>
      </c>
      <c r="H1153" s="221">
        <v>45259.0</v>
      </c>
      <c r="I1153" s="219" t="s">
        <v>1767</v>
      </c>
      <c r="J1153" s="219" t="s">
        <v>241</v>
      </c>
      <c r="K1153" s="219" t="s">
        <v>493</v>
      </c>
      <c r="L1153" s="214" t="s">
        <v>429</v>
      </c>
      <c r="M1153" s="222">
        <v>2023.0</v>
      </c>
      <c r="N1153" s="214" t="s">
        <v>425</v>
      </c>
      <c r="O1153" s="223">
        <v>4.0</v>
      </c>
      <c r="P1153" s="224">
        <f t="shared" si="1"/>
        <v>0.4974520384</v>
      </c>
      <c r="Q1153" s="214" t="str">
        <f t="shared" si="2"/>
        <v>High</v>
      </c>
    </row>
    <row r="1154" ht="15.75" customHeight="1">
      <c r="A1154" s="214" t="s">
        <v>1766</v>
      </c>
      <c r="B1154" s="216">
        <v>6672.0</v>
      </c>
      <c r="C1154" s="216">
        <v>3319.0</v>
      </c>
      <c r="D1154" s="217">
        <v>4.0</v>
      </c>
      <c r="E1154" s="219" t="s">
        <v>216</v>
      </c>
      <c r="F1154" s="219" t="s">
        <v>344</v>
      </c>
      <c r="G1154" s="214" t="s">
        <v>392</v>
      </c>
      <c r="H1154" s="221">
        <v>45432.0</v>
      </c>
      <c r="I1154" s="219" t="s">
        <v>1768</v>
      </c>
      <c r="J1154" s="219" t="s">
        <v>117</v>
      </c>
      <c r="K1154" s="219" t="s">
        <v>496</v>
      </c>
      <c r="L1154" s="214" t="s">
        <v>410</v>
      </c>
      <c r="M1154" s="222">
        <v>2024.0</v>
      </c>
      <c r="N1154" s="214" t="s">
        <v>411</v>
      </c>
      <c r="O1154" s="223">
        <v>2.0</v>
      </c>
      <c r="P1154" s="224">
        <f t="shared" si="1"/>
        <v>0.4974520384</v>
      </c>
      <c r="Q1154" s="214" t="str">
        <f t="shared" si="2"/>
        <v>High</v>
      </c>
    </row>
    <row r="1155" ht="15.75" customHeight="1">
      <c r="A1155" s="214" t="s">
        <v>1769</v>
      </c>
      <c r="B1155" s="216">
        <v>4699.0</v>
      </c>
      <c r="C1155" s="216">
        <v>103.0</v>
      </c>
      <c r="D1155" s="217">
        <v>12.0</v>
      </c>
      <c r="E1155" s="219" t="s">
        <v>242</v>
      </c>
      <c r="F1155" s="219" t="s">
        <v>362</v>
      </c>
      <c r="G1155" s="214" t="s">
        <v>392</v>
      </c>
      <c r="H1155" s="221">
        <v>45433.0</v>
      </c>
      <c r="I1155" s="219" t="s">
        <v>1770</v>
      </c>
      <c r="J1155" s="219" t="s">
        <v>313</v>
      </c>
      <c r="K1155" s="219" t="s">
        <v>518</v>
      </c>
      <c r="L1155" s="214" t="s">
        <v>410</v>
      </c>
      <c r="M1155" s="222">
        <v>2024.0</v>
      </c>
      <c r="N1155" s="214" t="s">
        <v>411</v>
      </c>
      <c r="O1155" s="223">
        <v>2.0</v>
      </c>
      <c r="P1155" s="224">
        <f t="shared" si="1"/>
        <v>0.02191955735</v>
      </c>
      <c r="Q1155" s="214" t="str">
        <f t="shared" si="2"/>
        <v>Medium</v>
      </c>
    </row>
    <row r="1156" ht="15.75" customHeight="1">
      <c r="A1156" s="214" t="s">
        <v>1771</v>
      </c>
      <c r="B1156" s="216">
        <v>4897.0</v>
      </c>
      <c r="C1156" s="216">
        <v>1001.0</v>
      </c>
      <c r="D1156" s="217">
        <v>14.0</v>
      </c>
      <c r="E1156" s="219" t="s">
        <v>216</v>
      </c>
      <c r="F1156" s="219" t="s">
        <v>347</v>
      </c>
      <c r="G1156" s="214" t="s">
        <v>351</v>
      </c>
      <c r="H1156" s="221">
        <v>44537.0</v>
      </c>
      <c r="I1156" s="219" t="s">
        <v>1772</v>
      </c>
      <c r="J1156" s="219" t="s">
        <v>241</v>
      </c>
      <c r="K1156" s="219" t="s">
        <v>541</v>
      </c>
      <c r="L1156" s="214" t="s">
        <v>452</v>
      </c>
      <c r="M1156" s="222">
        <v>2021.0</v>
      </c>
      <c r="N1156" s="214" t="s">
        <v>400</v>
      </c>
      <c r="O1156" s="223">
        <v>4.0</v>
      </c>
      <c r="P1156" s="224">
        <f t="shared" si="1"/>
        <v>0.2044108638</v>
      </c>
      <c r="Q1156" s="214" t="str">
        <f t="shared" si="2"/>
        <v>Medium</v>
      </c>
    </row>
    <row r="1157" ht="15.75" customHeight="1">
      <c r="A1157" s="214" t="s">
        <v>1771</v>
      </c>
      <c r="B1157" s="216">
        <v>4897.0</v>
      </c>
      <c r="C1157" s="216">
        <v>1001.0</v>
      </c>
      <c r="D1157" s="217">
        <v>14.0</v>
      </c>
      <c r="E1157" s="219" t="s">
        <v>216</v>
      </c>
      <c r="F1157" s="219" t="s">
        <v>347</v>
      </c>
      <c r="G1157" s="214" t="s">
        <v>351</v>
      </c>
      <c r="H1157" s="221">
        <v>45663.0</v>
      </c>
      <c r="I1157" s="219" t="s">
        <v>1773</v>
      </c>
      <c r="J1157" s="219" t="s">
        <v>313</v>
      </c>
      <c r="K1157" s="219" t="s">
        <v>518</v>
      </c>
      <c r="L1157" s="214" t="s">
        <v>487</v>
      </c>
      <c r="M1157" s="222">
        <v>2025.0</v>
      </c>
      <c r="N1157" s="214" t="s">
        <v>497</v>
      </c>
      <c r="O1157" s="223">
        <v>1.0</v>
      </c>
      <c r="P1157" s="224">
        <f t="shared" si="1"/>
        <v>0.2044108638</v>
      </c>
      <c r="Q1157" s="214" t="str">
        <f t="shared" si="2"/>
        <v>Medium</v>
      </c>
    </row>
    <row r="1158" ht="15.75" customHeight="1">
      <c r="A1158" s="214" t="s">
        <v>1774</v>
      </c>
      <c r="B1158" s="216">
        <v>5460.0</v>
      </c>
      <c r="C1158" s="216">
        <v>2088.0</v>
      </c>
      <c r="D1158" s="217">
        <v>14.0</v>
      </c>
      <c r="E1158" s="219" t="s">
        <v>216</v>
      </c>
      <c r="F1158" s="219" t="s">
        <v>344</v>
      </c>
      <c r="G1158" s="214" t="s">
        <v>351</v>
      </c>
      <c r="H1158" s="221">
        <v>44755.0</v>
      </c>
      <c r="I1158" s="219" t="s">
        <v>1775</v>
      </c>
      <c r="J1158" s="219" t="s">
        <v>223</v>
      </c>
      <c r="K1158" s="219" t="s">
        <v>402</v>
      </c>
      <c r="L1158" s="214" t="s">
        <v>460</v>
      </c>
      <c r="M1158" s="222">
        <v>2022.0</v>
      </c>
      <c r="N1158" s="214" t="s">
        <v>404</v>
      </c>
      <c r="O1158" s="223">
        <v>3.0</v>
      </c>
      <c r="P1158" s="224">
        <f t="shared" si="1"/>
        <v>0.3824175824</v>
      </c>
      <c r="Q1158" s="214" t="str">
        <f t="shared" si="2"/>
        <v>High</v>
      </c>
    </row>
    <row r="1159" ht="15.75" customHeight="1">
      <c r="A1159" s="214" t="s">
        <v>1774</v>
      </c>
      <c r="B1159" s="216">
        <v>5460.0</v>
      </c>
      <c r="C1159" s="216">
        <v>2088.0</v>
      </c>
      <c r="D1159" s="217">
        <v>14.0</v>
      </c>
      <c r="E1159" s="219" t="s">
        <v>216</v>
      </c>
      <c r="F1159" s="219" t="s">
        <v>344</v>
      </c>
      <c r="G1159" s="214" t="s">
        <v>351</v>
      </c>
      <c r="H1159" s="221">
        <v>43940.0</v>
      </c>
      <c r="I1159" s="219" t="s">
        <v>1776</v>
      </c>
      <c r="J1159" s="219" t="s">
        <v>313</v>
      </c>
      <c r="K1159" s="219" t="s">
        <v>518</v>
      </c>
      <c r="L1159" s="214" t="s">
        <v>418</v>
      </c>
      <c r="M1159" s="222">
        <v>2020.0</v>
      </c>
      <c r="N1159" s="214" t="s">
        <v>542</v>
      </c>
      <c r="O1159" s="223">
        <v>2.0</v>
      </c>
      <c r="P1159" s="224">
        <f t="shared" si="1"/>
        <v>0.3824175824</v>
      </c>
      <c r="Q1159" s="214" t="str">
        <f t="shared" si="2"/>
        <v>High</v>
      </c>
    </row>
    <row r="1160" ht="15.75" customHeight="1">
      <c r="A1160" s="214" t="s">
        <v>1777</v>
      </c>
      <c r="B1160" s="216">
        <v>9272.0</v>
      </c>
      <c r="C1160" s="216">
        <v>1771.0</v>
      </c>
      <c r="D1160" s="217">
        <v>19.0</v>
      </c>
      <c r="E1160" s="219" t="s">
        <v>242</v>
      </c>
      <c r="F1160" s="219" t="s">
        <v>317</v>
      </c>
      <c r="G1160" s="214" t="s">
        <v>392</v>
      </c>
      <c r="H1160" s="221">
        <v>45610.0</v>
      </c>
      <c r="I1160" s="219" t="s">
        <v>1778</v>
      </c>
      <c r="J1160" s="219" t="s">
        <v>271</v>
      </c>
      <c r="K1160" s="219" t="s">
        <v>449</v>
      </c>
      <c r="L1160" s="214" t="s">
        <v>486</v>
      </c>
      <c r="M1160" s="222">
        <v>2024.0</v>
      </c>
      <c r="N1160" s="214" t="s">
        <v>425</v>
      </c>
      <c r="O1160" s="223">
        <v>4.0</v>
      </c>
      <c r="P1160" s="224">
        <f t="shared" si="1"/>
        <v>0.1910051769</v>
      </c>
      <c r="Q1160" s="214" t="str">
        <f t="shared" si="2"/>
        <v>High</v>
      </c>
    </row>
    <row r="1161" ht="15.75" customHeight="1">
      <c r="A1161" s="214" t="s">
        <v>1777</v>
      </c>
      <c r="B1161" s="216">
        <v>9272.0</v>
      </c>
      <c r="C1161" s="216">
        <v>1771.0</v>
      </c>
      <c r="D1161" s="217">
        <v>19.0</v>
      </c>
      <c r="E1161" s="219" t="s">
        <v>242</v>
      </c>
      <c r="F1161" s="219" t="s">
        <v>317</v>
      </c>
      <c r="G1161" s="214" t="s">
        <v>392</v>
      </c>
      <c r="H1161" s="221">
        <v>43939.0</v>
      </c>
      <c r="I1161" s="219" t="s">
        <v>1779</v>
      </c>
      <c r="J1161" s="219" t="s">
        <v>241</v>
      </c>
      <c r="K1161" s="219" t="s">
        <v>493</v>
      </c>
      <c r="L1161" s="214" t="s">
        <v>418</v>
      </c>
      <c r="M1161" s="222">
        <v>2020.0</v>
      </c>
      <c r="N1161" s="214" t="s">
        <v>542</v>
      </c>
      <c r="O1161" s="223">
        <v>2.0</v>
      </c>
      <c r="P1161" s="224">
        <f t="shared" si="1"/>
        <v>0.1910051769</v>
      </c>
      <c r="Q1161" s="214" t="str">
        <f t="shared" si="2"/>
        <v>High</v>
      </c>
    </row>
    <row r="1162" ht="15.75" customHeight="1">
      <c r="A1162" s="214" t="s">
        <v>1780</v>
      </c>
      <c r="B1162" s="216">
        <v>7870.0</v>
      </c>
      <c r="C1162" s="216">
        <v>1057.0</v>
      </c>
      <c r="D1162" s="217">
        <v>15.0</v>
      </c>
      <c r="E1162" s="219" t="s">
        <v>242</v>
      </c>
      <c r="F1162" s="219" t="s">
        <v>356</v>
      </c>
      <c r="G1162" s="214" t="s">
        <v>350</v>
      </c>
      <c r="H1162" s="221">
        <v>45217.0</v>
      </c>
      <c r="I1162" s="219" t="s">
        <v>1781</v>
      </c>
      <c r="J1162" s="219" t="s">
        <v>241</v>
      </c>
      <c r="K1162" s="219" t="s">
        <v>541</v>
      </c>
      <c r="L1162" s="214" t="s">
        <v>475</v>
      </c>
      <c r="M1162" s="222">
        <v>2023.0</v>
      </c>
      <c r="N1162" s="214" t="s">
        <v>414</v>
      </c>
      <c r="O1162" s="223">
        <v>4.0</v>
      </c>
      <c r="P1162" s="224">
        <f t="shared" si="1"/>
        <v>0.1343074968</v>
      </c>
      <c r="Q1162" s="214" t="str">
        <f t="shared" si="2"/>
        <v>High</v>
      </c>
    </row>
    <row r="1163" ht="15.75" customHeight="1">
      <c r="A1163" s="214" t="s">
        <v>1780</v>
      </c>
      <c r="B1163" s="216">
        <v>7870.0</v>
      </c>
      <c r="C1163" s="216">
        <v>1057.0</v>
      </c>
      <c r="D1163" s="217">
        <v>15.0</v>
      </c>
      <c r="E1163" s="219" t="s">
        <v>242</v>
      </c>
      <c r="F1163" s="219" t="s">
        <v>356</v>
      </c>
      <c r="G1163" s="214" t="s">
        <v>350</v>
      </c>
      <c r="H1163" s="221">
        <v>44276.0</v>
      </c>
      <c r="I1163" s="219" t="s">
        <v>1782</v>
      </c>
      <c r="J1163" s="219" t="s">
        <v>313</v>
      </c>
      <c r="K1163" s="219" t="s">
        <v>526</v>
      </c>
      <c r="L1163" s="214" t="s">
        <v>440</v>
      </c>
      <c r="M1163" s="222">
        <v>2021.0</v>
      </c>
      <c r="N1163" s="214" t="s">
        <v>433</v>
      </c>
      <c r="O1163" s="223">
        <v>1.0</v>
      </c>
      <c r="P1163" s="224">
        <f t="shared" si="1"/>
        <v>0.1343074968</v>
      </c>
      <c r="Q1163" s="214" t="str">
        <f t="shared" si="2"/>
        <v>High</v>
      </c>
    </row>
    <row r="1164" ht="15.75" customHeight="1">
      <c r="A1164" s="214" t="s">
        <v>1783</v>
      </c>
      <c r="B1164" s="216">
        <v>7992.0</v>
      </c>
      <c r="C1164" s="216">
        <v>893.0</v>
      </c>
      <c r="D1164" s="217">
        <v>12.0</v>
      </c>
      <c r="E1164" s="219" t="s">
        <v>157</v>
      </c>
      <c r="F1164" s="219" t="s">
        <v>360</v>
      </c>
      <c r="G1164" s="214" t="s">
        <v>350</v>
      </c>
      <c r="H1164" s="221">
        <v>45548.0</v>
      </c>
      <c r="I1164" s="219" t="s">
        <v>1784</v>
      </c>
      <c r="J1164" s="219" t="s">
        <v>313</v>
      </c>
      <c r="K1164" s="219" t="s">
        <v>526</v>
      </c>
      <c r="L1164" s="214" t="s">
        <v>484</v>
      </c>
      <c r="M1164" s="222">
        <v>2024.0</v>
      </c>
      <c r="N1164" s="214" t="s">
        <v>536</v>
      </c>
      <c r="O1164" s="223">
        <v>3.0</v>
      </c>
      <c r="P1164" s="224">
        <f t="shared" si="1"/>
        <v>0.1117367367</v>
      </c>
      <c r="Q1164" s="214" t="str">
        <f t="shared" si="2"/>
        <v>High</v>
      </c>
    </row>
    <row r="1165" ht="15.75" customHeight="1">
      <c r="A1165" s="214" t="s">
        <v>1783</v>
      </c>
      <c r="B1165" s="216">
        <v>7992.0</v>
      </c>
      <c r="C1165" s="216">
        <v>893.0</v>
      </c>
      <c r="D1165" s="217">
        <v>12.0</v>
      </c>
      <c r="E1165" s="219" t="s">
        <v>157</v>
      </c>
      <c r="F1165" s="219" t="s">
        <v>360</v>
      </c>
      <c r="G1165" s="214" t="s">
        <v>350</v>
      </c>
      <c r="H1165" s="221">
        <v>45050.0</v>
      </c>
      <c r="I1165" s="219" t="s">
        <v>1785</v>
      </c>
      <c r="J1165" s="219" t="s">
        <v>223</v>
      </c>
      <c r="K1165" s="219" t="s">
        <v>428</v>
      </c>
      <c r="L1165" s="214" t="s">
        <v>469</v>
      </c>
      <c r="M1165" s="222">
        <v>2023.0</v>
      </c>
      <c r="N1165" s="214" t="s">
        <v>411</v>
      </c>
      <c r="O1165" s="223">
        <v>2.0</v>
      </c>
      <c r="P1165" s="224">
        <f t="shared" si="1"/>
        <v>0.1117367367</v>
      </c>
      <c r="Q1165" s="214" t="str">
        <f t="shared" si="2"/>
        <v>High</v>
      </c>
    </row>
    <row r="1166" ht="15.75" customHeight="1">
      <c r="A1166" s="214" t="s">
        <v>1783</v>
      </c>
      <c r="B1166" s="216">
        <v>7992.0</v>
      </c>
      <c r="C1166" s="216">
        <v>893.0</v>
      </c>
      <c r="D1166" s="217">
        <v>12.0</v>
      </c>
      <c r="E1166" s="219" t="s">
        <v>157</v>
      </c>
      <c r="F1166" s="219" t="s">
        <v>360</v>
      </c>
      <c r="G1166" s="214" t="s">
        <v>350</v>
      </c>
      <c r="H1166" s="221">
        <v>45077.0</v>
      </c>
      <c r="I1166" s="219" t="s">
        <v>1786</v>
      </c>
      <c r="J1166" s="219" t="s">
        <v>271</v>
      </c>
      <c r="K1166" s="219" t="s">
        <v>398</v>
      </c>
      <c r="L1166" s="214" t="s">
        <v>469</v>
      </c>
      <c r="M1166" s="222">
        <v>2023.0</v>
      </c>
      <c r="N1166" s="214" t="s">
        <v>411</v>
      </c>
      <c r="O1166" s="223">
        <v>2.0</v>
      </c>
      <c r="P1166" s="224">
        <f t="shared" si="1"/>
        <v>0.1117367367</v>
      </c>
      <c r="Q1166" s="214" t="str">
        <f t="shared" si="2"/>
        <v>High</v>
      </c>
    </row>
    <row r="1167" ht="15.75" customHeight="1">
      <c r="A1167" s="214" t="s">
        <v>1787</v>
      </c>
      <c r="B1167" s="216">
        <v>6499.0</v>
      </c>
      <c r="C1167" s="216">
        <v>2189.0</v>
      </c>
      <c r="D1167" s="217">
        <v>18.0</v>
      </c>
      <c r="E1167" s="219" t="s">
        <v>157</v>
      </c>
      <c r="F1167" s="219" t="s">
        <v>355</v>
      </c>
      <c r="G1167" s="214" t="s">
        <v>406</v>
      </c>
      <c r="H1167" s="221">
        <v>45458.0</v>
      </c>
      <c r="I1167" s="219" t="s">
        <v>1788</v>
      </c>
      <c r="J1167" s="219" t="s">
        <v>223</v>
      </c>
      <c r="K1167" s="219" t="s">
        <v>428</v>
      </c>
      <c r="L1167" s="214" t="s">
        <v>481</v>
      </c>
      <c r="M1167" s="222">
        <v>2024.0</v>
      </c>
      <c r="N1167" s="214" t="s">
        <v>396</v>
      </c>
      <c r="O1167" s="223">
        <v>2.0</v>
      </c>
      <c r="P1167" s="224">
        <f t="shared" si="1"/>
        <v>0.3368210494</v>
      </c>
      <c r="Q1167" s="214" t="str">
        <f t="shared" si="2"/>
        <v>High</v>
      </c>
    </row>
    <row r="1168" ht="15.75" customHeight="1">
      <c r="A1168" s="214" t="s">
        <v>1787</v>
      </c>
      <c r="B1168" s="216">
        <v>6499.0</v>
      </c>
      <c r="C1168" s="216">
        <v>2189.0</v>
      </c>
      <c r="D1168" s="217">
        <v>18.0</v>
      </c>
      <c r="E1168" s="219" t="s">
        <v>157</v>
      </c>
      <c r="F1168" s="219" t="s">
        <v>355</v>
      </c>
      <c r="G1168" s="214" t="s">
        <v>406</v>
      </c>
      <c r="H1168" s="221">
        <v>44289.0</v>
      </c>
      <c r="I1168" s="219" t="s">
        <v>1789</v>
      </c>
      <c r="J1168" s="219" t="s">
        <v>159</v>
      </c>
      <c r="K1168" s="219" t="s">
        <v>409</v>
      </c>
      <c r="L1168" s="214" t="s">
        <v>442</v>
      </c>
      <c r="M1168" s="222">
        <v>2021.0</v>
      </c>
      <c r="N1168" s="214" t="s">
        <v>542</v>
      </c>
      <c r="O1168" s="223">
        <v>2.0</v>
      </c>
      <c r="P1168" s="224">
        <f t="shared" si="1"/>
        <v>0.3368210494</v>
      </c>
      <c r="Q1168" s="214" t="str">
        <f t="shared" si="2"/>
        <v>High</v>
      </c>
    </row>
    <row r="1169" ht="15.75" customHeight="1">
      <c r="A1169" s="214" t="s">
        <v>1790</v>
      </c>
      <c r="B1169" s="216">
        <v>8848.0</v>
      </c>
      <c r="C1169" s="216">
        <v>2090.0</v>
      </c>
      <c r="D1169" s="217">
        <v>9.0</v>
      </c>
      <c r="E1169" s="219" t="s">
        <v>242</v>
      </c>
      <c r="F1169" s="219" t="s">
        <v>356</v>
      </c>
      <c r="G1169" s="214" t="s">
        <v>351</v>
      </c>
      <c r="H1169" s="221">
        <v>45671.0</v>
      </c>
      <c r="I1169" s="219" t="s">
        <v>1791</v>
      </c>
      <c r="J1169" s="219" t="s">
        <v>117</v>
      </c>
      <c r="K1169" s="219" t="s">
        <v>496</v>
      </c>
      <c r="L1169" s="214" t="s">
        <v>487</v>
      </c>
      <c r="M1169" s="222">
        <v>2025.0</v>
      </c>
      <c r="N1169" s="214" t="s">
        <v>497</v>
      </c>
      <c r="O1169" s="223">
        <v>1.0</v>
      </c>
      <c r="P1169" s="224">
        <f t="shared" si="1"/>
        <v>0.2362115732</v>
      </c>
      <c r="Q1169" s="214" t="str">
        <f t="shared" si="2"/>
        <v>High</v>
      </c>
    </row>
    <row r="1170" ht="15.75" customHeight="1">
      <c r="A1170" s="214" t="s">
        <v>1792</v>
      </c>
      <c r="B1170" s="216">
        <v>8044.0</v>
      </c>
      <c r="C1170" s="216">
        <v>3634.0</v>
      </c>
      <c r="D1170" s="217">
        <v>3.0</v>
      </c>
      <c r="E1170" s="219" t="s">
        <v>242</v>
      </c>
      <c r="F1170" s="219" t="s">
        <v>317</v>
      </c>
      <c r="G1170" s="214" t="s">
        <v>405</v>
      </c>
      <c r="H1170" s="221">
        <v>44189.0</v>
      </c>
      <c r="I1170" s="219" t="s">
        <v>1793</v>
      </c>
      <c r="J1170" s="219" t="s">
        <v>159</v>
      </c>
      <c r="K1170" s="219" t="s">
        <v>409</v>
      </c>
      <c r="L1170" s="214" t="s">
        <v>437</v>
      </c>
      <c r="M1170" s="222">
        <v>2020.0</v>
      </c>
      <c r="N1170" s="214" t="s">
        <v>400</v>
      </c>
      <c r="O1170" s="223">
        <v>4.0</v>
      </c>
      <c r="P1170" s="224">
        <f t="shared" si="1"/>
        <v>0.4517652909</v>
      </c>
      <c r="Q1170" s="214" t="str">
        <f t="shared" si="2"/>
        <v>High</v>
      </c>
    </row>
    <row r="1171" ht="15.75" customHeight="1">
      <c r="A1171" s="214" t="s">
        <v>1792</v>
      </c>
      <c r="B1171" s="216">
        <v>8044.0</v>
      </c>
      <c r="C1171" s="216">
        <v>3634.0</v>
      </c>
      <c r="D1171" s="217">
        <v>3.0</v>
      </c>
      <c r="E1171" s="219" t="s">
        <v>242</v>
      </c>
      <c r="F1171" s="219" t="s">
        <v>317</v>
      </c>
      <c r="G1171" s="214" t="s">
        <v>405</v>
      </c>
      <c r="H1171" s="221">
        <v>44841.0</v>
      </c>
      <c r="I1171" s="219" t="s">
        <v>1794</v>
      </c>
      <c r="J1171" s="219" t="s">
        <v>117</v>
      </c>
      <c r="K1171" s="219" t="s">
        <v>496</v>
      </c>
      <c r="L1171" s="214" t="s">
        <v>463</v>
      </c>
      <c r="M1171" s="222">
        <v>2022.0</v>
      </c>
      <c r="N1171" s="214" t="s">
        <v>414</v>
      </c>
      <c r="O1171" s="223">
        <v>4.0</v>
      </c>
      <c r="P1171" s="224">
        <f t="shared" si="1"/>
        <v>0.4517652909</v>
      </c>
      <c r="Q1171" s="214" t="str">
        <f t="shared" si="2"/>
        <v>High</v>
      </c>
    </row>
    <row r="1172" ht="15.75" customHeight="1">
      <c r="A1172" s="214" t="s">
        <v>1795</v>
      </c>
      <c r="B1172" s="216">
        <v>7417.0</v>
      </c>
      <c r="C1172" s="216">
        <v>1334.0</v>
      </c>
      <c r="D1172" s="217">
        <v>16.0</v>
      </c>
      <c r="E1172" s="219" t="s">
        <v>216</v>
      </c>
      <c r="F1172" s="219" t="s">
        <v>361</v>
      </c>
      <c r="G1172" s="214" t="s">
        <v>405</v>
      </c>
      <c r="H1172" s="221">
        <v>44474.0</v>
      </c>
      <c r="I1172" s="219" t="s">
        <v>1796</v>
      </c>
      <c r="J1172" s="219" t="s">
        <v>159</v>
      </c>
      <c r="K1172" s="219" t="s">
        <v>552</v>
      </c>
      <c r="L1172" s="214" t="s">
        <v>413</v>
      </c>
      <c r="M1172" s="222">
        <v>2021.0</v>
      </c>
      <c r="N1172" s="214" t="s">
        <v>414</v>
      </c>
      <c r="O1172" s="223">
        <v>4.0</v>
      </c>
      <c r="P1172" s="224">
        <f t="shared" si="1"/>
        <v>0.1798570851</v>
      </c>
      <c r="Q1172" s="214" t="str">
        <f t="shared" si="2"/>
        <v>High</v>
      </c>
    </row>
    <row r="1173" ht="15.75" customHeight="1">
      <c r="A1173" s="214" t="s">
        <v>1797</v>
      </c>
      <c r="B1173" s="216">
        <v>3451.0</v>
      </c>
      <c r="C1173" s="216">
        <v>658.0</v>
      </c>
      <c r="D1173" s="217">
        <v>3.0</v>
      </c>
      <c r="E1173" s="219" t="s">
        <v>242</v>
      </c>
      <c r="F1173" s="219" t="s">
        <v>317</v>
      </c>
      <c r="G1173" s="214" t="s">
        <v>392</v>
      </c>
      <c r="H1173" s="221">
        <v>45654.0</v>
      </c>
      <c r="I1173" s="219" t="s">
        <v>1798</v>
      </c>
      <c r="J1173" s="219" t="s">
        <v>271</v>
      </c>
      <c r="K1173" s="219" t="s">
        <v>398</v>
      </c>
      <c r="L1173" s="214" t="s">
        <v>399</v>
      </c>
      <c r="M1173" s="222">
        <v>2024.0</v>
      </c>
      <c r="N1173" s="214" t="s">
        <v>400</v>
      </c>
      <c r="O1173" s="223">
        <v>4.0</v>
      </c>
      <c r="P1173" s="224">
        <f t="shared" si="1"/>
        <v>0.1906693712</v>
      </c>
      <c r="Q1173" s="214" t="str">
        <f t="shared" si="2"/>
        <v>Medium</v>
      </c>
    </row>
    <row r="1174" ht="15.75" customHeight="1">
      <c r="A1174" s="214" t="s">
        <v>1799</v>
      </c>
      <c r="B1174" s="216">
        <v>8531.0</v>
      </c>
      <c r="C1174" s="216">
        <v>2555.0</v>
      </c>
      <c r="D1174" s="217">
        <v>4.0</v>
      </c>
      <c r="E1174" s="219" t="s">
        <v>157</v>
      </c>
      <c r="F1174" s="219" t="s">
        <v>360</v>
      </c>
      <c r="G1174" s="214" t="s">
        <v>406</v>
      </c>
      <c r="H1174" s="221">
        <v>44695.0</v>
      </c>
      <c r="I1174" s="219" t="s">
        <v>1800</v>
      </c>
      <c r="J1174" s="219" t="s">
        <v>241</v>
      </c>
      <c r="K1174" s="219" t="s">
        <v>504</v>
      </c>
      <c r="L1174" s="214" t="s">
        <v>457</v>
      </c>
      <c r="M1174" s="222">
        <v>2022.0</v>
      </c>
      <c r="N1174" s="214" t="s">
        <v>411</v>
      </c>
      <c r="O1174" s="223">
        <v>2.0</v>
      </c>
      <c r="P1174" s="224">
        <f t="shared" si="1"/>
        <v>0.2994959559</v>
      </c>
      <c r="Q1174" s="214" t="str">
        <f t="shared" si="2"/>
        <v>High</v>
      </c>
    </row>
    <row r="1175" ht="15.75" customHeight="1">
      <c r="A1175" s="214" t="s">
        <v>1801</v>
      </c>
      <c r="B1175" s="216">
        <v>6646.0</v>
      </c>
      <c r="C1175" s="216">
        <v>848.0</v>
      </c>
      <c r="D1175" s="217">
        <v>15.0</v>
      </c>
      <c r="E1175" s="219" t="s">
        <v>216</v>
      </c>
      <c r="F1175" s="219" t="s">
        <v>347</v>
      </c>
      <c r="G1175" s="214" t="s">
        <v>351</v>
      </c>
      <c r="H1175" s="221">
        <v>45157.0</v>
      </c>
      <c r="I1175" s="219" t="s">
        <v>1802</v>
      </c>
      <c r="J1175" s="219" t="s">
        <v>223</v>
      </c>
      <c r="K1175" s="219" t="s">
        <v>428</v>
      </c>
      <c r="L1175" s="214" t="s">
        <v>472</v>
      </c>
      <c r="M1175" s="222">
        <v>2023.0</v>
      </c>
      <c r="N1175" s="214" t="s">
        <v>523</v>
      </c>
      <c r="O1175" s="223">
        <v>3.0</v>
      </c>
      <c r="P1175" s="224">
        <f t="shared" si="1"/>
        <v>0.1275955462</v>
      </c>
      <c r="Q1175" s="214" t="str">
        <f t="shared" si="2"/>
        <v>High</v>
      </c>
    </row>
    <row r="1176" ht="15.75" customHeight="1">
      <c r="A1176" s="214" t="s">
        <v>1801</v>
      </c>
      <c r="B1176" s="216">
        <v>6646.0</v>
      </c>
      <c r="C1176" s="216">
        <v>848.0</v>
      </c>
      <c r="D1176" s="217">
        <v>15.0</v>
      </c>
      <c r="E1176" s="219" t="s">
        <v>216</v>
      </c>
      <c r="F1176" s="219" t="s">
        <v>347</v>
      </c>
      <c r="G1176" s="214" t="s">
        <v>351</v>
      </c>
      <c r="H1176" s="221">
        <v>45121.0</v>
      </c>
      <c r="I1176" s="219" t="s">
        <v>1803</v>
      </c>
      <c r="J1176" s="219" t="s">
        <v>223</v>
      </c>
      <c r="K1176" s="219" t="s">
        <v>402</v>
      </c>
      <c r="L1176" s="214" t="s">
        <v>471</v>
      </c>
      <c r="M1176" s="222">
        <v>2023.0</v>
      </c>
      <c r="N1176" s="214" t="s">
        <v>404</v>
      </c>
      <c r="O1176" s="223">
        <v>3.0</v>
      </c>
      <c r="P1176" s="224">
        <f t="shared" si="1"/>
        <v>0.1275955462</v>
      </c>
      <c r="Q1176" s="214" t="str">
        <f t="shared" si="2"/>
        <v>High</v>
      </c>
    </row>
    <row r="1177" ht="15.75" customHeight="1">
      <c r="A1177" s="214" t="s">
        <v>1804</v>
      </c>
      <c r="B1177" s="216">
        <v>2553.0</v>
      </c>
      <c r="C1177" s="216">
        <v>907.0</v>
      </c>
      <c r="D1177" s="217">
        <v>6.0</v>
      </c>
      <c r="E1177" s="219" t="s">
        <v>157</v>
      </c>
      <c r="F1177" s="219" t="s">
        <v>360</v>
      </c>
      <c r="G1177" s="214" t="s">
        <v>350</v>
      </c>
      <c r="H1177" s="221">
        <v>45099.0</v>
      </c>
      <c r="I1177" s="219" t="s">
        <v>1805</v>
      </c>
      <c r="J1177" s="219" t="s">
        <v>241</v>
      </c>
      <c r="K1177" s="219" t="s">
        <v>493</v>
      </c>
      <c r="L1177" s="214" t="s">
        <v>395</v>
      </c>
      <c r="M1177" s="222">
        <v>2023.0</v>
      </c>
      <c r="N1177" s="214" t="s">
        <v>396</v>
      </c>
      <c r="O1177" s="223">
        <v>2.0</v>
      </c>
      <c r="P1177" s="224">
        <f t="shared" si="1"/>
        <v>0.3552683118</v>
      </c>
      <c r="Q1177" s="214" t="str">
        <f t="shared" si="2"/>
        <v>Medium</v>
      </c>
    </row>
    <row r="1178" ht="15.75" customHeight="1">
      <c r="A1178" s="214" t="s">
        <v>1806</v>
      </c>
      <c r="B1178" s="216">
        <v>8490.0</v>
      </c>
      <c r="C1178" s="216">
        <v>3485.0</v>
      </c>
      <c r="D1178" s="217">
        <v>3.0</v>
      </c>
      <c r="E1178" s="219" t="s">
        <v>157</v>
      </c>
      <c r="F1178" s="219" t="s">
        <v>358</v>
      </c>
      <c r="G1178" s="214" t="s">
        <v>350</v>
      </c>
      <c r="H1178" s="221">
        <v>45006.0</v>
      </c>
      <c r="I1178" s="219" t="s">
        <v>1807</v>
      </c>
      <c r="J1178" s="219" t="s">
        <v>223</v>
      </c>
      <c r="K1178" s="219" t="s">
        <v>428</v>
      </c>
      <c r="L1178" s="214" t="s">
        <v>467</v>
      </c>
      <c r="M1178" s="222">
        <v>2023.0</v>
      </c>
      <c r="N1178" s="214" t="s">
        <v>433</v>
      </c>
      <c r="O1178" s="223">
        <v>1.0</v>
      </c>
      <c r="P1178" s="224">
        <f t="shared" si="1"/>
        <v>0.4104829211</v>
      </c>
      <c r="Q1178" s="214" t="str">
        <f t="shared" si="2"/>
        <v>High</v>
      </c>
    </row>
    <row r="1179" ht="15.75" customHeight="1">
      <c r="A1179" s="214" t="s">
        <v>1808</v>
      </c>
      <c r="B1179" s="216">
        <v>2689.0</v>
      </c>
      <c r="C1179" s="216">
        <v>1330.0</v>
      </c>
      <c r="D1179" s="217">
        <v>3.0</v>
      </c>
      <c r="E1179" s="219" t="s">
        <v>216</v>
      </c>
      <c r="F1179" s="219" t="s">
        <v>344</v>
      </c>
      <c r="G1179" s="214" t="s">
        <v>392</v>
      </c>
      <c r="H1179" s="221">
        <v>44178.0</v>
      </c>
      <c r="I1179" s="219" t="s">
        <v>1809</v>
      </c>
      <c r="J1179" s="219" t="s">
        <v>117</v>
      </c>
      <c r="K1179" s="219" t="s">
        <v>423</v>
      </c>
      <c r="L1179" s="214" t="s">
        <v>437</v>
      </c>
      <c r="M1179" s="222">
        <v>2020.0</v>
      </c>
      <c r="N1179" s="214" t="s">
        <v>400</v>
      </c>
      <c r="O1179" s="223">
        <v>4.0</v>
      </c>
      <c r="P1179" s="224">
        <f t="shared" si="1"/>
        <v>0.4946076608</v>
      </c>
      <c r="Q1179" s="214" t="str">
        <f t="shared" si="2"/>
        <v>Medium</v>
      </c>
    </row>
    <row r="1180" ht="15.75" customHeight="1">
      <c r="A1180" s="214" t="s">
        <v>1808</v>
      </c>
      <c r="B1180" s="216">
        <v>2689.0</v>
      </c>
      <c r="C1180" s="216">
        <v>1330.0</v>
      </c>
      <c r="D1180" s="217">
        <v>3.0</v>
      </c>
      <c r="E1180" s="219" t="s">
        <v>216</v>
      </c>
      <c r="F1180" s="219" t="s">
        <v>344</v>
      </c>
      <c r="G1180" s="214" t="s">
        <v>392</v>
      </c>
      <c r="H1180" s="221">
        <v>45441.0</v>
      </c>
      <c r="I1180" s="219" t="s">
        <v>1810</v>
      </c>
      <c r="J1180" s="219" t="s">
        <v>159</v>
      </c>
      <c r="K1180" s="219" t="s">
        <v>394</v>
      </c>
      <c r="L1180" s="214" t="s">
        <v>410</v>
      </c>
      <c r="M1180" s="222">
        <v>2024.0</v>
      </c>
      <c r="N1180" s="214" t="s">
        <v>411</v>
      </c>
      <c r="O1180" s="223">
        <v>2.0</v>
      </c>
      <c r="P1180" s="224">
        <f t="shared" si="1"/>
        <v>0.4946076608</v>
      </c>
      <c r="Q1180" s="214" t="str">
        <f t="shared" si="2"/>
        <v>Medium</v>
      </c>
    </row>
    <row r="1181" ht="15.75" customHeight="1">
      <c r="A1181" s="214" t="s">
        <v>1811</v>
      </c>
      <c r="B1181" s="216">
        <v>815.0</v>
      </c>
      <c r="C1181" s="216">
        <v>54.0</v>
      </c>
      <c r="D1181" s="217">
        <v>14.0</v>
      </c>
      <c r="E1181" s="219" t="s">
        <v>216</v>
      </c>
      <c r="F1181" s="219" t="s">
        <v>344</v>
      </c>
      <c r="G1181" s="214" t="s">
        <v>351</v>
      </c>
      <c r="H1181" s="221">
        <v>44341.0</v>
      </c>
      <c r="I1181" s="219" t="s">
        <v>1812</v>
      </c>
      <c r="J1181" s="219" t="s">
        <v>117</v>
      </c>
      <c r="K1181" s="219" t="s">
        <v>508</v>
      </c>
      <c r="L1181" s="214" t="s">
        <v>443</v>
      </c>
      <c r="M1181" s="222">
        <v>2021.0</v>
      </c>
      <c r="N1181" s="214" t="s">
        <v>411</v>
      </c>
      <c r="O1181" s="223">
        <v>2.0</v>
      </c>
      <c r="P1181" s="224">
        <f t="shared" si="1"/>
        <v>0.06625766871</v>
      </c>
      <c r="Q1181" s="214" t="str">
        <f t="shared" si="2"/>
        <v>Medium</v>
      </c>
    </row>
    <row r="1182" ht="15.75" customHeight="1">
      <c r="A1182" s="214" t="s">
        <v>1813</v>
      </c>
      <c r="B1182" s="216">
        <v>5024.0</v>
      </c>
      <c r="C1182" s="216">
        <v>379.0</v>
      </c>
      <c r="D1182" s="217">
        <v>2.0</v>
      </c>
      <c r="E1182" s="219" t="s">
        <v>242</v>
      </c>
      <c r="F1182" s="219" t="s">
        <v>357</v>
      </c>
      <c r="G1182" s="214" t="s">
        <v>392</v>
      </c>
      <c r="H1182" s="221">
        <v>45384.0</v>
      </c>
      <c r="I1182" s="219" t="s">
        <v>1814</v>
      </c>
      <c r="J1182" s="219" t="s">
        <v>241</v>
      </c>
      <c r="K1182" s="219" t="s">
        <v>493</v>
      </c>
      <c r="L1182" s="214" t="s">
        <v>480</v>
      </c>
      <c r="M1182" s="222">
        <v>2024.0</v>
      </c>
      <c r="N1182" s="214" t="s">
        <v>542</v>
      </c>
      <c r="O1182" s="223">
        <v>2.0</v>
      </c>
      <c r="P1182" s="224">
        <f t="shared" si="1"/>
        <v>0.07543789809</v>
      </c>
      <c r="Q1182" s="214" t="str">
        <f t="shared" si="2"/>
        <v>High</v>
      </c>
    </row>
    <row r="1183" ht="15.75" customHeight="1">
      <c r="A1183" s="214" t="s">
        <v>1813</v>
      </c>
      <c r="B1183" s="216">
        <v>5024.0</v>
      </c>
      <c r="C1183" s="216">
        <v>379.0</v>
      </c>
      <c r="D1183" s="217">
        <v>2.0</v>
      </c>
      <c r="E1183" s="219" t="s">
        <v>242</v>
      </c>
      <c r="F1183" s="219" t="s">
        <v>357</v>
      </c>
      <c r="G1183" s="214" t="s">
        <v>392</v>
      </c>
      <c r="H1183" s="221">
        <v>44898.0</v>
      </c>
      <c r="I1183" s="219" t="s">
        <v>1815</v>
      </c>
      <c r="J1183" s="219" t="s">
        <v>271</v>
      </c>
      <c r="K1183" s="219" t="s">
        <v>568</v>
      </c>
      <c r="L1183" s="214" t="s">
        <v>464</v>
      </c>
      <c r="M1183" s="222">
        <v>2022.0</v>
      </c>
      <c r="N1183" s="214" t="s">
        <v>400</v>
      </c>
      <c r="O1183" s="223">
        <v>4.0</v>
      </c>
      <c r="P1183" s="224">
        <f t="shared" si="1"/>
        <v>0.07543789809</v>
      </c>
      <c r="Q1183" s="214" t="str">
        <f t="shared" si="2"/>
        <v>High</v>
      </c>
    </row>
    <row r="1184" ht="15.75" customHeight="1">
      <c r="A1184" s="214" t="s">
        <v>1816</v>
      </c>
      <c r="B1184" s="216">
        <v>8962.0</v>
      </c>
      <c r="C1184" s="216">
        <v>2444.0</v>
      </c>
      <c r="D1184" s="217">
        <v>18.0</v>
      </c>
      <c r="E1184" s="219" t="s">
        <v>157</v>
      </c>
      <c r="F1184" s="219" t="s">
        <v>355</v>
      </c>
      <c r="G1184" s="214" t="s">
        <v>351</v>
      </c>
      <c r="H1184" s="221">
        <v>44389.0</v>
      </c>
      <c r="I1184" s="219" t="s">
        <v>1817</v>
      </c>
      <c r="J1184" s="219" t="s">
        <v>313</v>
      </c>
      <c r="K1184" s="219" t="s">
        <v>526</v>
      </c>
      <c r="L1184" s="214" t="s">
        <v>403</v>
      </c>
      <c r="M1184" s="222">
        <v>2021.0</v>
      </c>
      <c r="N1184" s="214" t="s">
        <v>404</v>
      </c>
      <c r="O1184" s="223">
        <v>3.0</v>
      </c>
      <c r="P1184" s="224">
        <f t="shared" si="1"/>
        <v>0.272706985</v>
      </c>
      <c r="Q1184" s="214" t="str">
        <f t="shared" si="2"/>
        <v>High</v>
      </c>
    </row>
    <row r="1185" ht="15.75" customHeight="1">
      <c r="A1185" s="214" t="s">
        <v>1816</v>
      </c>
      <c r="B1185" s="216">
        <v>8962.0</v>
      </c>
      <c r="C1185" s="216">
        <v>2444.0</v>
      </c>
      <c r="D1185" s="217">
        <v>18.0</v>
      </c>
      <c r="E1185" s="219" t="s">
        <v>157</v>
      </c>
      <c r="F1185" s="219" t="s">
        <v>355</v>
      </c>
      <c r="G1185" s="214" t="s">
        <v>351</v>
      </c>
      <c r="H1185" s="221">
        <v>43912.0</v>
      </c>
      <c r="I1185" s="219" t="s">
        <v>1818</v>
      </c>
      <c r="J1185" s="219" t="s">
        <v>271</v>
      </c>
      <c r="K1185" s="219" t="s">
        <v>568</v>
      </c>
      <c r="L1185" s="214" t="s">
        <v>417</v>
      </c>
      <c r="M1185" s="222">
        <v>2020.0</v>
      </c>
      <c r="N1185" s="214" t="s">
        <v>433</v>
      </c>
      <c r="O1185" s="223">
        <v>1.0</v>
      </c>
      <c r="P1185" s="224">
        <f t="shared" si="1"/>
        <v>0.272706985</v>
      </c>
      <c r="Q1185" s="214" t="str">
        <f t="shared" si="2"/>
        <v>High</v>
      </c>
    </row>
    <row r="1186" ht="15.75" customHeight="1">
      <c r="A1186" s="214" t="s">
        <v>1819</v>
      </c>
      <c r="B1186" s="216">
        <v>1961.0</v>
      </c>
      <c r="C1186" s="216">
        <v>59.0</v>
      </c>
      <c r="D1186" s="217">
        <v>12.0</v>
      </c>
      <c r="E1186" s="219" t="s">
        <v>242</v>
      </c>
      <c r="F1186" s="219" t="s">
        <v>362</v>
      </c>
      <c r="G1186" s="214" t="s">
        <v>392</v>
      </c>
      <c r="H1186" s="221">
        <v>44052.0</v>
      </c>
      <c r="I1186" s="219" t="s">
        <v>1820</v>
      </c>
      <c r="J1186" s="219" t="s">
        <v>159</v>
      </c>
      <c r="K1186" s="219" t="s">
        <v>409</v>
      </c>
      <c r="L1186" s="214" t="s">
        <v>431</v>
      </c>
      <c r="M1186" s="222">
        <v>2020.0</v>
      </c>
      <c r="N1186" s="214" t="s">
        <v>523</v>
      </c>
      <c r="O1186" s="223">
        <v>3.0</v>
      </c>
      <c r="P1186" s="224">
        <f t="shared" si="1"/>
        <v>0.03008669046</v>
      </c>
      <c r="Q1186" s="214" t="str">
        <f t="shared" si="2"/>
        <v>Medium</v>
      </c>
    </row>
    <row r="1187" ht="15.75" customHeight="1">
      <c r="A1187" s="214" t="s">
        <v>1821</v>
      </c>
      <c r="B1187" s="216">
        <v>526.0</v>
      </c>
      <c r="C1187" s="216">
        <v>83.0</v>
      </c>
      <c r="D1187" s="217">
        <v>4.0</v>
      </c>
      <c r="E1187" s="219" t="s">
        <v>216</v>
      </c>
      <c r="F1187" s="219" t="s">
        <v>347</v>
      </c>
      <c r="G1187" s="214" t="s">
        <v>350</v>
      </c>
      <c r="H1187" s="221">
        <v>44610.0</v>
      </c>
      <c r="I1187" s="219" t="s">
        <v>1822</v>
      </c>
      <c r="J1187" s="219" t="s">
        <v>271</v>
      </c>
      <c r="K1187" s="219" t="s">
        <v>398</v>
      </c>
      <c r="L1187" s="214" t="s">
        <v>454</v>
      </c>
      <c r="M1187" s="222">
        <v>2022.0</v>
      </c>
      <c r="N1187" s="214" t="s">
        <v>494</v>
      </c>
      <c r="O1187" s="223">
        <v>1.0</v>
      </c>
      <c r="P1187" s="224">
        <f t="shared" si="1"/>
        <v>0.1577946768</v>
      </c>
      <c r="Q1187" s="214" t="str">
        <f t="shared" si="2"/>
        <v>Medium</v>
      </c>
    </row>
    <row r="1188" ht="15.75" customHeight="1">
      <c r="A1188" s="214" t="s">
        <v>1823</v>
      </c>
      <c r="B1188" s="216">
        <v>6093.0</v>
      </c>
      <c r="C1188" s="216">
        <v>3042.0</v>
      </c>
      <c r="D1188" s="217">
        <v>9.0</v>
      </c>
      <c r="E1188" s="219" t="s">
        <v>216</v>
      </c>
      <c r="F1188" s="219" t="s">
        <v>361</v>
      </c>
      <c r="G1188" s="214" t="s">
        <v>351</v>
      </c>
      <c r="H1188" s="221">
        <v>44361.0</v>
      </c>
      <c r="I1188" s="219" t="s">
        <v>1824</v>
      </c>
      <c r="J1188" s="219" t="s">
        <v>117</v>
      </c>
      <c r="K1188" s="219" t="s">
        <v>508</v>
      </c>
      <c r="L1188" s="214" t="s">
        <v>444</v>
      </c>
      <c r="M1188" s="222">
        <v>2021.0</v>
      </c>
      <c r="N1188" s="214" t="s">
        <v>396</v>
      </c>
      <c r="O1188" s="223">
        <v>2.0</v>
      </c>
      <c r="P1188" s="224">
        <f t="shared" si="1"/>
        <v>0.4992614476</v>
      </c>
      <c r="Q1188" s="214" t="str">
        <f t="shared" si="2"/>
        <v>High</v>
      </c>
    </row>
    <row r="1189" ht="15.75" customHeight="1">
      <c r="A1189" s="214" t="s">
        <v>1823</v>
      </c>
      <c r="B1189" s="216">
        <v>6093.0</v>
      </c>
      <c r="C1189" s="216">
        <v>3042.0</v>
      </c>
      <c r="D1189" s="217">
        <v>9.0</v>
      </c>
      <c r="E1189" s="219" t="s">
        <v>216</v>
      </c>
      <c r="F1189" s="219" t="s">
        <v>361</v>
      </c>
      <c r="G1189" s="214" t="s">
        <v>351</v>
      </c>
      <c r="H1189" s="221">
        <v>44256.0</v>
      </c>
      <c r="I1189" s="219" t="s">
        <v>1825</v>
      </c>
      <c r="J1189" s="219" t="s">
        <v>117</v>
      </c>
      <c r="K1189" s="219" t="s">
        <v>496</v>
      </c>
      <c r="L1189" s="214" t="s">
        <v>440</v>
      </c>
      <c r="M1189" s="222">
        <v>2021.0</v>
      </c>
      <c r="N1189" s="214" t="s">
        <v>433</v>
      </c>
      <c r="O1189" s="223">
        <v>1.0</v>
      </c>
      <c r="P1189" s="224">
        <f t="shared" si="1"/>
        <v>0.4992614476</v>
      </c>
      <c r="Q1189" s="214" t="str">
        <f t="shared" si="2"/>
        <v>High</v>
      </c>
    </row>
    <row r="1190" ht="15.75" customHeight="1">
      <c r="A1190" s="214" t="s">
        <v>1826</v>
      </c>
      <c r="B1190" s="216">
        <v>7699.0</v>
      </c>
      <c r="C1190" s="216">
        <v>246.0</v>
      </c>
      <c r="D1190" s="217">
        <v>5.0</v>
      </c>
      <c r="E1190" s="219" t="s">
        <v>157</v>
      </c>
      <c r="F1190" s="219" t="s">
        <v>355</v>
      </c>
      <c r="G1190" s="214" t="s">
        <v>351</v>
      </c>
      <c r="H1190" s="221">
        <v>45192.0</v>
      </c>
      <c r="I1190" s="219" t="s">
        <v>1827</v>
      </c>
      <c r="J1190" s="219" t="s">
        <v>241</v>
      </c>
      <c r="K1190" s="219" t="s">
        <v>504</v>
      </c>
      <c r="L1190" s="214" t="s">
        <v>474</v>
      </c>
      <c r="M1190" s="222">
        <v>2023.0</v>
      </c>
      <c r="N1190" s="214" t="s">
        <v>536</v>
      </c>
      <c r="O1190" s="223">
        <v>3.0</v>
      </c>
      <c r="P1190" s="224">
        <f t="shared" si="1"/>
        <v>0.03195220158</v>
      </c>
      <c r="Q1190" s="214" t="str">
        <f t="shared" si="2"/>
        <v>High</v>
      </c>
    </row>
    <row r="1191" ht="15.75" customHeight="1">
      <c r="A1191" s="214" t="s">
        <v>1828</v>
      </c>
      <c r="B1191" s="216">
        <v>8825.0</v>
      </c>
      <c r="C1191" s="216">
        <v>3594.0</v>
      </c>
      <c r="D1191" s="217">
        <v>15.0</v>
      </c>
      <c r="E1191" s="219" t="s">
        <v>216</v>
      </c>
      <c r="F1191" s="219" t="s">
        <v>344</v>
      </c>
      <c r="G1191" s="214" t="s">
        <v>351</v>
      </c>
      <c r="H1191" s="221">
        <v>45504.0</v>
      </c>
      <c r="I1191" s="219" t="s">
        <v>1829</v>
      </c>
      <c r="J1191" s="219" t="s">
        <v>223</v>
      </c>
      <c r="K1191" s="219" t="s">
        <v>428</v>
      </c>
      <c r="L1191" s="214" t="s">
        <v>482</v>
      </c>
      <c r="M1191" s="222">
        <v>2024.0</v>
      </c>
      <c r="N1191" s="214" t="s">
        <v>404</v>
      </c>
      <c r="O1191" s="223">
        <v>3.0</v>
      </c>
      <c r="P1191" s="224">
        <f t="shared" si="1"/>
        <v>0.4072521246</v>
      </c>
      <c r="Q1191" s="214" t="str">
        <f t="shared" si="2"/>
        <v>High</v>
      </c>
    </row>
    <row r="1192" ht="15.75" customHeight="1">
      <c r="A1192" s="214" t="s">
        <v>1830</v>
      </c>
      <c r="B1192" s="216">
        <v>2082.0</v>
      </c>
      <c r="C1192" s="216">
        <v>642.0</v>
      </c>
      <c r="D1192" s="217">
        <v>8.0</v>
      </c>
      <c r="E1192" s="219" t="s">
        <v>157</v>
      </c>
      <c r="F1192" s="219" t="s">
        <v>358</v>
      </c>
      <c r="G1192" s="214" t="s">
        <v>406</v>
      </c>
      <c r="H1192" s="221">
        <v>43984.0</v>
      </c>
      <c r="I1192" s="219" t="s">
        <v>1831</v>
      </c>
      <c r="J1192" s="219" t="s">
        <v>223</v>
      </c>
      <c r="K1192" s="219" t="s">
        <v>473</v>
      </c>
      <c r="L1192" s="214" t="s">
        <v>421</v>
      </c>
      <c r="M1192" s="222">
        <v>2020.0</v>
      </c>
      <c r="N1192" s="214" t="s">
        <v>396</v>
      </c>
      <c r="O1192" s="223">
        <v>2.0</v>
      </c>
      <c r="P1192" s="224">
        <f t="shared" si="1"/>
        <v>0.3083573487</v>
      </c>
      <c r="Q1192" s="214" t="str">
        <f t="shared" si="2"/>
        <v>Medium</v>
      </c>
    </row>
    <row r="1193" ht="15.75" customHeight="1">
      <c r="A1193" s="214" t="s">
        <v>1830</v>
      </c>
      <c r="B1193" s="216">
        <v>2082.0</v>
      </c>
      <c r="C1193" s="216">
        <v>642.0</v>
      </c>
      <c r="D1193" s="217">
        <v>8.0</v>
      </c>
      <c r="E1193" s="219" t="s">
        <v>157</v>
      </c>
      <c r="F1193" s="219" t="s">
        <v>358</v>
      </c>
      <c r="G1193" s="214" t="s">
        <v>406</v>
      </c>
      <c r="H1193" s="221">
        <v>44910.0</v>
      </c>
      <c r="I1193" s="219" t="s">
        <v>1832</v>
      </c>
      <c r="J1193" s="219" t="s">
        <v>241</v>
      </c>
      <c r="K1193" s="219" t="s">
        <v>504</v>
      </c>
      <c r="L1193" s="214" t="s">
        <v>464</v>
      </c>
      <c r="M1193" s="222">
        <v>2022.0</v>
      </c>
      <c r="N1193" s="214" t="s">
        <v>400</v>
      </c>
      <c r="O1193" s="223">
        <v>4.0</v>
      </c>
      <c r="P1193" s="224">
        <f t="shared" si="1"/>
        <v>0.3083573487</v>
      </c>
      <c r="Q1193" s="214" t="str">
        <f t="shared" si="2"/>
        <v>Medium</v>
      </c>
    </row>
    <row r="1194" ht="15.75" customHeight="1">
      <c r="A1194" s="214" t="s">
        <v>1830</v>
      </c>
      <c r="B1194" s="216">
        <v>2082.0</v>
      </c>
      <c r="C1194" s="216">
        <v>642.0</v>
      </c>
      <c r="D1194" s="217">
        <v>8.0</v>
      </c>
      <c r="E1194" s="219" t="s">
        <v>157</v>
      </c>
      <c r="F1194" s="219" t="s">
        <v>358</v>
      </c>
      <c r="G1194" s="214" t="s">
        <v>406</v>
      </c>
      <c r="H1194" s="221">
        <v>44050.0</v>
      </c>
      <c r="I1194" s="219" t="s">
        <v>1833</v>
      </c>
      <c r="J1194" s="219" t="s">
        <v>223</v>
      </c>
      <c r="K1194" s="219" t="s">
        <v>402</v>
      </c>
      <c r="L1194" s="214" t="s">
        <v>431</v>
      </c>
      <c r="M1194" s="222">
        <v>2020.0</v>
      </c>
      <c r="N1194" s="214" t="s">
        <v>523</v>
      </c>
      <c r="O1194" s="223">
        <v>3.0</v>
      </c>
      <c r="P1194" s="224">
        <f t="shared" si="1"/>
        <v>0.3083573487</v>
      </c>
      <c r="Q1194" s="214" t="str">
        <f t="shared" si="2"/>
        <v>Medium</v>
      </c>
    </row>
    <row r="1195" ht="15.75" customHeight="1">
      <c r="A1195" s="214" t="s">
        <v>1834</v>
      </c>
      <c r="B1195" s="216">
        <v>914.0</v>
      </c>
      <c r="C1195" s="216">
        <v>163.0</v>
      </c>
      <c r="D1195" s="217">
        <v>13.0</v>
      </c>
      <c r="E1195" s="219" t="s">
        <v>242</v>
      </c>
      <c r="F1195" s="219" t="s">
        <v>317</v>
      </c>
      <c r="G1195" s="214" t="s">
        <v>392</v>
      </c>
      <c r="H1195" s="221">
        <v>45591.0</v>
      </c>
      <c r="I1195" s="219" t="s">
        <v>1835</v>
      </c>
      <c r="J1195" s="219" t="s">
        <v>271</v>
      </c>
      <c r="K1195" s="219" t="s">
        <v>398</v>
      </c>
      <c r="L1195" s="214" t="s">
        <v>485</v>
      </c>
      <c r="M1195" s="222">
        <v>2024.0</v>
      </c>
      <c r="N1195" s="214" t="s">
        <v>414</v>
      </c>
      <c r="O1195" s="223">
        <v>4.0</v>
      </c>
      <c r="P1195" s="224">
        <f t="shared" si="1"/>
        <v>0.1783369803</v>
      </c>
      <c r="Q1195" s="214" t="str">
        <f t="shared" si="2"/>
        <v>Medium</v>
      </c>
    </row>
  </sheetData>
  <dataValidations>
    <dataValidation type="custom" allowBlank="1" showDropDown="1" sqref="H2:H1195">
      <formula1>OR(NOT(ISERROR(DATEVALUE(H2))), AND(ISNUMBER(H2), LEFT(CELL("format", H2))="D"))</formula1>
    </dataValidation>
    <dataValidation type="custom" allowBlank="1" showDropDown="1" sqref="P2:P1195">
      <formula1>AND(ISNUMBER(P2),(NOT(OR(NOT(ISERROR(DATEVALUE(P2))), AND(ISNUMBER(P2), LEFT(CELL("format", P2))="D")))))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